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zh.sharepoint.com/sites/FASTress963/Shared Documents/General/Data/"/>
    </mc:Choice>
  </mc:AlternateContent>
  <xr:revisionPtr revIDLastSave="0" documentId="8_{DA3E4093-A8BB-4951-91DF-46E949A8DC0A}" xr6:coauthVersionLast="47" xr6:coauthVersionMax="47" xr10:uidLastSave="{00000000-0000-0000-0000-000000000000}"/>
  <bookViews>
    <workbookView xWindow="0" yWindow="660" windowWidth="28800" windowHeight="17040" firstSheet="1" activeTab="1" xr2:uid="{00000000-000D-0000-FFFF-FFFF00000000}"/>
  </bookViews>
  <sheets>
    <sheet name="session T1" sheetId="16" r:id="rId1"/>
    <sheet name="session T2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6" l="1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26" i="18"/>
  <c r="J39" i="16"/>
  <c r="J14" i="18"/>
  <c r="J24" i="16"/>
  <c r="J2" i="18"/>
  <c r="J3" i="18"/>
  <c r="J4" i="18"/>
  <c r="J5" i="18"/>
  <c r="J6" i="18"/>
  <c r="J7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5" i="18"/>
  <c r="J24" i="18"/>
  <c r="J23" i="18"/>
  <c r="J22" i="18"/>
  <c r="J21" i="18"/>
  <c r="J20" i="18"/>
  <c r="J19" i="18"/>
  <c r="J18" i="18"/>
  <c r="J17" i="18"/>
  <c r="J16" i="18"/>
  <c r="J15" i="18"/>
  <c r="J13" i="18"/>
  <c r="J12" i="18"/>
  <c r="J11" i="18"/>
  <c r="J10" i="18"/>
  <c r="J9" i="18"/>
  <c r="J8" i="18"/>
  <c r="J43" i="16"/>
  <c r="J36" i="16"/>
  <c r="J10" i="16"/>
  <c r="J35" i="16"/>
  <c r="J9" i="16"/>
  <c r="J31" i="16"/>
  <c r="J30" i="16"/>
  <c r="J20" i="16"/>
  <c r="J8" i="16"/>
  <c r="J19" i="16"/>
  <c r="J29" i="16"/>
  <c r="J28" i="16"/>
  <c r="J27" i="16"/>
  <c r="J18" i="16"/>
  <c r="J26" i="16"/>
  <c r="J17" i="16"/>
  <c r="J16" i="16"/>
  <c r="J25" i="16"/>
  <c r="J42" i="16"/>
  <c r="J7" i="16"/>
  <c r="J6" i="16"/>
  <c r="J38" i="16"/>
  <c r="J40" i="16"/>
  <c r="J5" i="16"/>
  <c r="J34" i="16"/>
  <c r="J15" i="16"/>
  <c r="J2" i="16"/>
  <c r="J33" i="16"/>
  <c r="J14" i="16"/>
  <c r="J13" i="16"/>
  <c r="J32" i="16"/>
  <c r="J23" i="16"/>
  <c r="J41" i="16"/>
  <c r="J22" i="16"/>
  <c r="J12" i="16"/>
  <c r="J4" i="16"/>
  <c r="J11" i="16"/>
  <c r="J37" i="16"/>
  <c r="J3" i="16"/>
  <c r="J2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tc={B2BCE238-55E5-490E-8D52-E0E5F230C4FF}</author>
  </authors>
  <commentList>
    <comment ref="D1" authorId="0" shapeId="0" xr:uid="{B2BCE238-55E5-490E-8D52-E0E5F230C4FF}">
      <text>
        <t>[Threaded comment]
Your version of Excel allows you to read this threaded comment; however, any edits to it will get removed if the file is opened in a newer version of Excel. Learn more: https://go.microsoft.com/fwlink/?linkid=870924
Comment:
    Sex asigned at birth</t>
      </text>
    </comment>
  </commentList>
</comments>
</file>

<file path=xl/sharedStrings.xml><?xml version="1.0" encoding="utf-8"?>
<sst xmlns="http://schemas.openxmlformats.org/spreadsheetml/2006/main" count="367" uniqueCount="120">
  <si>
    <t>FASTRESS-ID</t>
  </si>
  <si>
    <t>Metabolic state (S/F)</t>
  </si>
  <si>
    <t>Age</t>
  </si>
  <si>
    <t>Sex
(Male = m,
Female = f)</t>
  </si>
  <si>
    <t>Female: last period (date)</t>
  </si>
  <si>
    <t>Waist circumference (cm)</t>
  </si>
  <si>
    <t>Hip circumference (cm)</t>
  </si>
  <si>
    <t>Height (cm)</t>
  </si>
  <si>
    <t>Weight (kg)</t>
  </si>
  <si>
    <t>BMI (automatic, should be 18.5-25)</t>
  </si>
  <si>
    <t>Date of blood sampling</t>
  </si>
  <si>
    <t>Time of blood sampling (pre)</t>
  </si>
  <si>
    <t>Glucose_pre</t>
  </si>
  <si>
    <t>Ketones_pre</t>
  </si>
  <si>
    <t>Time of blood sampling (post)</t>
  </si>
  <si>
    <t>Glucose_post</t>
  </si>
  <si>
    <t>Ketones_post</t>
  </si>
  <si>
    <t>Notes</t>
  </si>
  <si>
    <t>sub-019</t>
  </si>
  <si>
    <t>S</t>
  </si>
  <si>
    <t>f</t>
  </si>
  <si>
    <t>15.01.2026</t>
  </si>
  <si>
    <t>26.01.2026</t>
  </si>
  <si>
    <t>4,9</t>
  </si>
  <si>
    <t>0,4</t>
  </si>
  <si>
    <t>sub-007</t>
  </si>
  <si>
    <t>m</t>
  </si>
  <si>
    <t>-</t>
  </si>
  <si>
    <t>5,2</t>
  </si>
  <si>
    <t>0,1</t>
  </si>
  <si>
    <t>4,3</t>
  </si>
  <si>
    <t>sub-005</t>
  </si>
  <si>
    <t>0,2</t>
  </si>
  <si>
    <t>5,1</t>
  </si>
  <si>
    <t>sub-022</t>
  </si>
  <si>
    <t>30.01.2026</t>
  </si>
  <si>
    <t>sub-053</t>
  </si>
  <si>
    <t>sub-054</t>
  </si>
  <si>
    <t>F</t>
  </si>
  <si>
    <t>08.02.2026</t>
  </si>
  <si>
    <t>23.02.2026</t>
  </si>
  <si>
    <t>sub-039</t>
  </si>
  <si>
    <t>sub-084</t>
  </si>
  <si>
    <t>sub-083</t>
  </si>
  <si>
    <t xml:space="preserve"> - </t>
  </si>
  <si>
    <t>sub-002</t>
  </si>
  <si>
    <t>sub-003</t>
  </si>
  <si>
    <t>4,8</t>
  </si>
  <si>
    <t>0,3</t>
  </si>
  <si>
    <t>Teilnehmerin kam beim ersten Termin fälschlicherweise gefastet</t>
  </si>
  <si>
    <t>sub-017</t>
  </si>
  <si>
    <t>6,1</t>
  </si>
  <si>
    <t>sub-016</t>
  </si>
  <si>
    <t>5,4</t>
  </si>
  <si>
    <t>4,1</t>
  </si>
  <si>
    <t>sub-018</t>
  </si>
  <si>
    <t>Gender: divers (he/him)</t>
  </si>
  <si>
    <t>sub-029</t>
  </si>
  <si>
    <t>sub-030</t>
  </si>
  <si>
    <t>25.02.2026</t>
  </si>
  <si>
    <t>sub-033</t>
  </si>
  <si>
    <t>sub-038</t>
  </si>
  <si>
    <t>sub-042</t>
  </si>
  <si>
    <t>sub-006</t>
  </si>
  <si>
    <t>6,2</t>
  </si>
  <si>
    <t>3,9</t>
  </si>
  <si>
    <t>0,8</t>
  </si>
  <si>
    <t>sub-004</t>
  </si>
  <si>
    <t>sub-009</t>
  </si>
  <si>
    <t>sub-027</t>
  </si>
  <si>
    <t>24.02.2026</t>
  </si>
  <si>
    <t>sub-032</t>
  </si>
  <si>
    <t>sub-031</t>
  </si>
  <si>
    <t>sub-028</t>
  </si>
  <si>
    <t>09.03.2026</t>
  </si>
  <si>
    <t>sub-023</t>
  </si>
  <si>
    <t>16.03.2026</t>
  </si>
  <si>
    <t>sub-041</t>
  </si>
  <si>
    <t>sub-050</t>
  </si>
  <si>
    <t>sub-072</t>
  </si>
  <si>
    <t>sub-015</t>
  </si>
  <si>
    <t>sub-024</t>
  </si>
  <si>
    <t>sub-020</t>
  </si>
  <si>
    <t>sub-044</t>
  </si>
  <si>
    <t>sub-049</t>
  </si>
  <si>
    <t xml:space="preserve"> -</t>
  </si>
  <si>
    <t>sub-001</t>
  </si>
  <si>
    <t>0,7</t>
  </si>
  <si>
    <t>0,6</t>
  </si>
  <si>
    <t>sub-013</t>
  </si>
  <si>
    <t>12.02.2026</t>
  </si>
  <si>
    <t>sub-010</t>
  </si>
  <si>
    <t>sub-051</t>
  </si>
  <si>
    <t>sub-008</t>
  </si>
  <si>
    <t>sub-025</t>
  </si>
  <si>
    <t>sub-012</t>
  </si>
  <si>
    <t>sub-087</t>
  </si>
  <si>
    <t>6,8</t>
  </si>
  <si>
    <t>19.01.2026</t>
  </si>
  <si>
    <t>01.01.2026</t>
  </si>
  <si>
    <t>02.02.2026</t>
  </si>
  <si>
    <t>01.02.2026</t>
  </si>
  <si>
    <t>15.02.2026</t>
  </si>
  <si>
    <t>16.02.2026</t>
  </si>
  <si>
    <t>19.02.2026</t>
  </si>
  <si>
    <t>?</t>
  </si>
  <si>
    <t>Blood pre: Problem mit dem Blutwertlesegerät nach Einfügen des neuen Chips. Ketone-Werte wurden bei allen als 0.0 angezeigt. Daher bei Ketone "?".</t>
  </si>
  <si>
    <t>10.02.2026</t>
  </si>
  <si>
    <t>26.02.2026</t>
  </si>
  <si>
    <t>0..6</t>
  </si>
  <si>
    <t>10.03.2026</t>
  </si>
  <si>
    <t>13.03.2026</t>
  </si>
  <si>
    <t>05.03.2026</t>
  </si>
  <si>
    <t>23.03.2026</t>
  </si>
  <si>
    <t>30.03.2026</t>
  </si>
  <si>
    <t>20.03.2026</t>
  </si>
  <si>
    <t>02.04.2026</t>
  </si>
  <si>
    <t>31.03.2026</t>
  </si>
  <si>
    <t>21.03.2026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</si>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</sst>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]hh:mm;@" x16r2:formatCode16="[$-en-CH,1]hh:mm;@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0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2" fillId="3" borderId="1" xfId="2" applyNumberFormat="1" applyBorder="1" applyAlignment="1">
      <alignment horizontal="center"/>
    </xf>
    <xf numFmtId="164" fontId="2" fillId="2" borderId="1" xfId="1" applyNumberForma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1" fillId="3" borderId="1" xfId="2" applyNumberFormat="1" applyFont="1" applyBorder="1" applyAlignment="1">
      <alignment horizontal="center"/>
    </xf>
    <xf numFmtId="164" fontId="1" fillId="2" borderId="1" xfId="1" applyNumberFormat="1" applyFont="1" applyBorder="1" applyAlignment="1">
      <alignment horizontal="center"/>
    </xf>
    <xf numFmtId="0" fontId="1" fillId="3" borderId="3" xfId="2" applyFont="1" applyBorder="1" applyAlignment="1">
      <alignment horizontal="center" vertical="center" wrapText="1"/>
    </xf>
    <xf numFmtId="0" fontId="1" fillId="2" borderId="3" xfId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20" fontId="5" fillId="0" borderId="1" xfId="0" applyNumberFormat="1" applyFont="1" applyBorder="1" applyAlignment="1">
      <alignment horizontal="center"/>
    </xf>
  </cellXfs>
  <cellStyles count="3">
    <cellStyle name="20 % - Akzent1" xfId="1" builtinId="30"/>
    <cellStyle name="20 % - Akzent4" xfId="2" builtinId="42"/>
    <cellStyle name="Standard" xfId="0" builtinId="0"/>
  </cellStyles>
  <dxfs count="0"/>
  <tableStyles count="0" defaultTableStyle="TableStyleMedium2" defaultPivotStyle="PivotStyleMedium9"/>
  <colors>
    <mruColors>
      <color rgb="FFFFE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y Schmitz" id="{40F18CB9-D87A-470C-AAEC-46061A533A10}" userId="S::emily.schmitz@uzh.ch::a1b25512-a8f1-4df1-91c6-93c7ea7f5c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2-26T12:20:46.48" personId="{40F18CB9-D87A-470C-AAEC-46061A533A10}" id="{B2BCE238-55E5-490E-8D52-E0E5F230C4FF}">
    <text>Sex asigned at birth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6F23-DBDB-3349-A2F2-C179633EF104}">
  <dimension ref="A1:X70"/>
  <sheetViews>
    <sheetView zoomScaleNormal="120" workbookViewId="0">
      <pane ySplit="1" topLeftCell="B20" activePane="bottomLeft" state="frozen"/>
      <selection pane="bottomLeft" activeCell="A38" sqref="A38"/>
    </sheetView>
  </sheetViews>
  <sheetFormatPr defaultColWidth="8.85546875" defaultRowHeight="15"/>
  <cols>
    <col min="1" max="2" width="13.85546875" style="1" customWidth="1"/>
    <col min="3" max="3" width="13.7109375" style="1" customWidth="1"/>
    <col min="4" max="4" width="14.42578125" style="1" customWidth="1"/>
    <col min="5" max="5" width="14.42578125" style="15" customWidth="1"/>
    <col min="6" max="6" width="13.85546875" style="1" customWidth="1"/>
    <col min="7" max="7" width="12.85546875" style="1" customWidth="1"/>
    <col min="8" max="8" width="11.28515625" style="1" customWidth="1"/>
    <col min="9" max="9" width="11.42578125" style="1" customWidth="1"/>
    <col min="10" max="10" width="17.140625" style="1" customWidth="1"/>
    <col min="11" max="11" width="16" style="1" customWidth="1"/>
    <col min="12" max="12" width="15.140625" style="1" customWidth="1"/>
    <col min="13" max="15" width="14.7109375" style="1" customWidth="1"/>
    <col min="16" max="17" width="14.140625" style="1" customWidth="1"/>
    <col min="18" max="18" width="61" customWidth="1"/>
  </cols>
  <sheetData>
    <row r="1" spans="1:18" ht="42.95" customHeight="1" thickBot="1">
      <c r="A1" s="6" t="s">
        <v>0</v>
      </c>
      <c r="B1" s="13" t="s">
        <v>1</v>
      </c>
      <c r="C1" s="7" t="s">
        <v>2</v>
      </c>
      <c r="D1" s="7" t="s">
        <v>3</v>
      </c>
      <c r="E1" s="1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8" t="s">
        <v>12</v>
      </c>
      <c r="N1" s="19" t="s">
        <v>13</v>
      </c>
      <c r="O1" s="7" t="s">
        <v>14</v>
      </c>
      <c r="P1" s="18" t="s">
        <v>15</v>
      </c>
      <c r="Q1" s="19" t="s">
        <v>16</v>
      </c>
      <c r="R1" s="8" t="s">
        <v>17</v>
      </c>
    </row>
    <row r="2" spans="1:18" ht="15.95">
      <c r="A2" s="3" t="s">
        <v>18</v>
      </c>
      <c r="B2" s="3" t="s">
        <v>19</v>
      </c>
      <c r="C2" s="3">
        <v>18</v>
      </c>
      <c r="D2" s="3" t="s">
        <v>20</v>
      </c>
      <c r="E2" s="9" t="s">
        <v>21</v>
      </c>
      <c r="F2" s="3">
        <v>73.8</v>
      </c>
      <c r="G2" s="3">
        <v>94.9</v>
      </c>
      <c r="H2" s="3">
        <v>165</v>
      </c>
      <c r="I2" s="3">
        <v>59.2</v>
      </c>
      <c r="J2" s="4">
        <f>I2/(H2/100)^2</f>
        <v>21.74471992653811</v>
      </c>
      <c r="K2" s="9" t="s">
        <v>22</v>
      </c>
      <c r="L2" s="10">
        <v>0.58472222222222225</v>
      </c>
      <c r="M2" s="11">
        <v>4.8</v>
      </c>
      <c r="N2" s="12">
        <v>0.3</v>
      </c>
      <c r="O2" s="10">
        <v>0.67083333333333328</v>
      </c>
      <c r="P2" s="11" t="s">
        <v>23</v>
      </c>
      <c r="Q2" s="12" t="s">
        <v>24</v>
      </c>
      <c r="R2" s="5"/>
    </row>
    <row r="3" spans="1:18" ht="15.95">
      <c r="A3" s="3" t="s">
        <v>25</v>
      </c>
      <c r="B3" s="3" t="s">
        <v>19</v>
      </c>
      <c r="C3" s="3">
        <v>19</v>
      </c>
      <c r="D3" s="3" t="s">
        <v>26</v>
      </c>
      <c r="E3" s="9" t="s">
        <v>27</v>
      </c>
      <c r="F3" s="3">
        <v>74.7</v>
      </c>
      <c r="G3" s="3">
        <v>92.4</v>
      </c>
      <c r="H3" s="3">
        <v>184</v>
      </c>
      <c r="I3" s="3">
        <v>64.099999999999994</v>
      </c>
      <c r="J3" s="4">
        <f>I3/(H3/100)^2</f>
        <v>18.93312854442344</v>
      </c>
      <c r="K3" s="9">
        <v>46006</v>
      </c>
      <c r="L3" s="10">
        <v>0.57916666666666672</v>
      </c>
      <c r="M3" s="11" t="s">
        <v>28</v>
      </c>
      <c r="N3" s="12" t="s">
        <v>29</v>
      </c>
      <c r="O3" s="10">
        <v>0.63263888888888886</v>
      </c>
      <c r="P3" s="11" t="s">
        <v>30</v>
      </c>
      <c r="Q3" s="12" t="s">
        <v>29</v>
      </c>
      <c r="R3" s="5"/>
    </row>
    <row r="4" spans="1:18" ht="15.95">
      <c r="A4" s="3" t="s">
        <v>31</v>
      </c>
      <c r="B4" s="3" t="s">
        <v>19</v>
      </c>
      <c r="C4" s="3">
        <v>19</v>
      </c>
      <c r="D4" s="3" t="s">
        <v>20</v>
      </c>
      <c r="E4" s="9">
        <v>46023</v>
      </c>
      <c r="F4" s="3">
        <v>70.599999999999994</v>
      </c>
      <c r="G4" s="3">
        <v>86.4</v>
      </c>
      <c r="H4" s="3">
        <v>166</v>
      </c>
      <c r="I4" s="3">
        <v>54.9</v>
      </c>
      <c r="J4" s="4">
        <f>I4/(H4/100)^2</f>
        <v>19.923065757003918</v>
      </c>
      <c r="K4" s="9">
        <v>46030</v>
      </c>
      <c r="L4" s="10">
        <v>0.49166666666666664</v>
      </c>
      <c r="M4" s="16" t="s">
        <v>28</v>
      </c>
      <c r="N4" s="17" t="s">
        <v>32</v>
      </c>
      <c r="O4" s="10">
        <v>0.58958333333333335</v>
      </c>
      <c r="P4" s="16" t="s">
        <v>33</v>
      </c>
      <c r="Q4" s="17" t="s">
        <v>29</v>
      </c>
      <c r="R4" s="5"/>
    </row>
    <row r="5" spans="1:18" ht="15.95">
      <c r="A5" s="3" t="s">
        <v>34</v>
      </c>
      <c r="B5" s="3" t="s">
        <v>19</v>
      </c>
      <c r="C5" s="3">
        <v>19</v>
      </c>
      <c r="D5" s="3" t="s">
        <v>20</v>
      </c>
      <c r="E5" s="9" t="s">
        <v>35</v>
      </c>
      <c r="F5" s="3">
        <v>64.3</v>
      </c>
      <c r="G5" s="3">
        <v>91.4</v>
      </c>
      <c r="H5" s="3">
        <v>165</v>
      </c>
      <c r="I5" s="3">
        <v>54</v>
      </c>
      <c r="J5" s="4">
        <f>I5/(H5/100)^2</f>
        <v>19.834710743801654</v>
      </c>
      <c r="K5" s="9">
        <v>46056</v>
      </c>
      <c r="L5" s="10">
        <v>0.50486111111111109</v>
      </c>
      <c r="M5" s="11">
        <v>5.7</v>
      </c>
      <c r="N5" s="12">
        <v>0.3</v>
      </c>
      <c r="O5" s="10">
        <v>0.58611111111111114</v>
      </c>
      <c r="P5" s="11">
        <v>5.3</v>
      </c>
      <c r="Q5" s="12">
        <v>0.2</v>
      </c>
      <c r="R5" s="5"/>
    </row>
    <row r="6" spans="1:18" ht="15.95">
      <c r="A6" s="3" t="s">
        <v>36</v>
      </c>
      <c r="B6" s="3" t="s">
        <v>19</v>
      </c>
      <c r="C6" s="3">
        <v>19</v>
      </c>
      <c r="D6" s="3" t="s">
        <v>20</v>
      </c>
      <c r="E6" s="9">
        <v>46056</v>
      </c>
      <c r="F6" s="3">
        <v>74.2</v>
      </c>
      <c r="G6" s="3">
        <v>103.2</v>
      </c>
      <c r="H6" s="3">
        <v>172</v>
      </c>
      <c r="I6" s="3">
        <v>65.599999999999994</v>
      </c>
      <c r="J6" s="4">
        <f>I6/(H6/100)^2</f>
        <v>22.174148188209845</v>
      </c>
      <c r="K6" s="9">
        <v>46070</v>
      </c>
      <c r="L6" s="10">
        <v>0.49166666666666664</v>
      </c>
      <c r="M6" s="11">
        <v>6.1</v>
      </c>
      <c r="N6" s="12">
        <v>0.4</v>
      </c>
      <c r="O6" s="10">
        <v>0.59097222222222223</v>
      </c>
      <c r="P6" s="11">
        <v>5.9</v>
      </c>
      <c r="Q6" s="12">
        <v>0.4</v>
      </c>
      <c r="R6" s="5"/>
    </row>
    <row r="7" spans="1:18" ht="15.95">
      <c r="A7" s="3" t="s">
        <v>37</v>
      </c>
      <c r="B7" s="3" t="s">
        <v>38</v>
      </c>
      <c r="C7" s="3">
        <v>19</v>
      </c>
      <c r="D7" s="3" t="s">
        <v>20</v>
      </c>
      <c r="E7" s="9" t="s">
        <v>39</v>
      </c>
      <c r="F7" s="3">
        <v>69.3</v>
      </c>
      <c r="G7" s="3">
        <v>102</v>
      </c>
      <c r="H7" s="3">
        <v>176.4</v>
      </c>
      <c r="I7" s="3">
        <v>62.4</v>
      </c>
      <c r="J7" s="4">
        <f>I7/(H7/100)^2</f>
        <v>20.053372823052122</v>
      </c>
      <c r="K7" s="9" t="s">
        <v>40</v>
      </c>
      <c r="L7" s="10">
        <v>0.53402777777777777</v>
      </c>
      <c r="M7" s="11">
        <v>4.5</v>
      </c>
      <c r="N7" s="12">
        <v>0.5</v>
      </c>
      <c r="O7" s="10">
        <v>0.7</v>
      </c>
      <c r="P7" s="11">
        <v>4.5999999999999996</v>
      </c>
      <c r="Q7" s="12">
        <v>0.7</v>
      </c>
      <c r="R7" s="5"/>
    </row>
    <row r="8" spans="1:18" ht="15.95">
      <c r="A8" s="3" t="s">
        <v>41</v>
      </c>
      <c r="B8" s="3" t="s">
        <v>19</v>
      </c>
      <c r="C8" s="3">
        <v>19</v>
      </c>
      <c r="D8" s="3" t="s">
        <v>20</v>
      </c>
      <c r="E8" s="9">
        <v>46091</v>
      </c>
      <c r="F8" s="3">
        <v>70.099999999999994</v>
      </c>
      <c r="G8" s="3">
        <v>100</v>
      </c>
      <c r="H8" s="3">
        <v>170</v>
      </c>
      <c r="I8" s="3">
        <v>61.7</v>
      </c>
      <c r="J8" s="4">
        <f>I8/(H8/100)^2</f>
        <v>21.349480968858135</v>
      </c>
      <c r="K8" s="9">
        <v>46100</v>
      </c>
      <c r="L8" s="10">
        <v>0.56527777777777777</v>
      </c>
      <c r="M8" s="11">
        <v>5.4</v>
      </c>
      <c r="N8" s="12">
        <v>0.2</v>
      </c>
      <c r="O8" s="10">
        <v>0.65416666666666667</v>
      </c>
      <c r="P8" s="11">
        <v>6.1</v>
      </c>
      <c r="Q8" s="12">
        <v>0</v>
      </c>
      <c r="R8" s="5"/>
    </row>
    <row r="9" spans="1:18" ht="15.95">
      <c r="A9" s="3" t="s">
        <v>42</v>
      </c>
      <c r="B9" s="3" t="s">
        <v>19</v>
      </c>
      <c r="C9" s="3">
        <v>19</v>
      </c>
      <c r="D9" s="3" t="s">
        <v>26</v>
      </c>
      <c r="E9" s="9" t="s">
        <v>27</v>
      </c>
      <c r="F9" s="3">
        <v>78.599999999999994</v>
      </c>
      <c r="G9" s="3">
        <v>96.1</v>
      </c>
      <c r="H9" s="3">
        <v>184</v>
      </c>
      <c r="I9" s="3">
        <v>76.5</v>
      </c>
      <c r="J9" s="4">
        <f>I9/(H9/100)^2</f>
        <v>22.59569943289225</v>
      </c>
      <c r="K9" s="9">
        <v>46107</v>
      </c>
      <c r="L9" s="10">
        <v>0.5</v>
      </c>
      <c r="M9" s="11">
        <v>5.8</v>
      </c>
      <c r="N9" s="12">
        <v>0.2</v>
      </c>
      <c r="O9" s="10">
        <v>0.59166666666666667</v>
      </c>
      <c r="P9" s="11">
        <v>4.9000000000000004</v>
      </c>
      <c r="Q9" s="12">
        <v>0.1</v>
      </c>
      <c r="R9" s="5"/>
    </row>
    <row r="10" spans="1:18" ht="15.95">
      <c r="A10" s="3" t="s">
        <v>43</v>
      </c>
      <c r="B10" s="3" t="s">
        <v>38</v>
      </c>
      <c r="C10" s="3">
        <v>19</v>
      </c>
      <c r="D10" s="3" t="s">
        <v>26</v>
      </c>
      <c r="E10" s="9" t="s">
        <v>44</v>
      </c>
      <c r="F10" s="3">
        <v>75.5</v>
      </c>
      <c r="G10" s="3">
        <v>98.8</v>
      </c>
      <c r="H10" s="3">
        <v>179</v>
      </c>
      <c r="I10" s="3">
        <v>71.3</v>
      </c>
      <c r="J10" s="4">
        <f>I10/(H10/100)^2</f>
        <v>22.252738678568083</v>
      </c>
      <c r="K10" s="9">
        <v>46108</v>
      </c>
      <c r="L10" s="20">
        <v>0.5</v>
      </c>
      <c r="M10" s="11">
        <v>5.3</v>
      </c>
      <c r="N10" s="12">
        <v>0.3</v>
      </c>
      <c r="O10" s="10">
        <v>0.5854166666666667</v>
      </c>
      <c r="P10" s="11">
        <v>4.8</v>
      </c>
      <c r="Q10" s="12">
        <v>0</v>
      </c>
      <c r="R10" s="5"/>
    </row>
    <row r="11" spans="1:18" ht="15.95">
      <c r="A11" s="3" t="s">
        <v>45</v>
      </c>
      <c r="B11" s="3" t="s">
        <v>19</v>
      </c>
      <c r="C11" s="3">
        <v>20</v>
      </c>
      <c r="D11" s="3" t="s">
        <v>20</v>
      </c>
      <c r="E11" s="9">
        <v>46009</v>
      </c>
      <c r="F11" s="3">
        <v>65</v>
      </c>
      <c r="G11" s="3">
        <v>87</v>
      </c>
      <c r="H11" s="3">
        <v>169</v>
      </c>
      <c r="I11" s="3">
        <v>50.1</v>
      </c>
      <c r="J11" s="4">
        <f>I11/(H11/100)^2</f>
        <v>17.541402611953366</v>
      </c>
      <c r="K11" s="9">
        <v>46009</v>
      </c>
      <c r="L11" s="10">
        <v>0.59861111111111109</v>
      </c>
      <c r="M11" s="11">
        <v>4.2</v>
      </c>
      <c r="N11" s="12">
        <v>0.6</v>
      </c>
      <c r="O11" s="10">
        <v>0.68611111111111112</v>
      </c>
      <c r="P11" s="11">
        <v>4.0999999999999996</v>
      </c>
      <c r="Q11" s="12">
        <v>0.9</v>
      </c>
      <c r="R11" s="5"/>
    </row>
    <row r="12" spans="1:18" ht="15.95">
      <c r="A12" s="3" t="s">
        <v>46</v>
      </c>
      <c r="B12" s="3" t="s">
        <v>38</v>
      </c>
      <c r="C12" s="3">
        <v>20</v>
      </c>
      <c r="D12" s="3" t="s">
        <v>20</v>
      </c>
      <c r="E12" s="9">
        <v>46024</v>
      </c>
      <c r="F12" s="3">
        <v>72</v>
      </c>
      <c r="G12" s="3">
        <v>96.8</v>
      </c>
      <c r="H12" s="3">
        <v>166</v>
      </c>
      <c r="I12" s="3">
        <v>61.6</v>
      </c>
      <c r="J12" s="4">
        <f>I12/(H12/100)^2</f>
        <v>22.354478153578171</v>
      </c>
      <c r="K12" s="9">
        <v>46030</v>
      </c>
      <c r="L12" s="10">
        <v>0.57638888888888884</v>
      </c>
      <c r="M12" s="16" t="s">
        <v>47</v>
      </c>
      <c r="N12" s="17" t="s">
        <v>32</v>
      </c>
      <c r="O12" s="10">
        <v>0.67361111111111116</v>
      </c>
      <c r="P12" s="16" t="s">
        <v>30</v>
      </c>
      <c r="Q12" s="17" t="s">
        <v>48</v>
      </c>
      <c r="R12" s="5" t="s">
        <v>49</v>
      </c>
    </row>
    <row r="13" spans="1:18" ht="15.95">
      <c r="A13" s="3" t="s">
        <v>50</v>
      </c>
      <c r="B13" s="3" t="s">
        <v>19</v>
      </c>
      <c r="C13" s="3">
        <v>20</v>
      </c>
      <c r="D13" s="3" t="s">
        <v>20</v>
      </c>
      <c r="E13" s="9">
        <v>46036</v>
      </c>
      <c r="F13" s="3">
        <v>77.7</v>
      </c>
      <c r="G13" s="3">
        <v>103</v>
      </c>
      <c r="H13" s="3">
        <v>176</v>
      </c>
      <c r="I13" s="3">
        <v>69.900000000000006</v>
      </c>
      <c r="J13" s="4">
        <f>I13/(H13/100)^2</f>
        <v>22.565857438016533</v>
      </c>
      <c r="K13" s="9">
        <v>46042</v>
      </c>
      <c r="L13" s="10">
        <v>0.57638888888888884</v>
      </c>
      <c r="M13" s="16" t="s">
        <v>51</v>
      </c>
      <c r="N13" s="17" t="s">
        <v>29</v>
      </c>
      <c r="O13" s="10">
        <v>0.66249999999999998</v>
      </c>
      <c r="P13" s="16" t="s">
        <v>33</v>
      </c>
      <c r="Q13" s="17" t="s">
        <v>48</v>
      </c>
      <c r="R13" s="5"/>
    </row>
    <row r="14" spans="1:18" ht="15.95">
      <c r="A14" s="3" t="s">
        <v>52</v>
      </c>
      <c r="B14" s="3" t="s">
        <v>19</v>
      </c>
      <c r="C14" s="3">
        <v>20</v>
      </c>
      <c r="D14" s="3" t="s">
        <v>20</v>
      </c>
      <c r="E14" s="9">
        <v>46033</v>
      </c>
      <c r="F14" s="3">
        <v>78.900000000000006</v>
      </c>
      <c r="G14" s="3">
        <v>106</v>
      </c>
      <c r="H14" s="3">
        <v>158</v>
      </c>
      <c r="I14" s="3">
        <v>73</v>
      </c>
      <c r="J14" s="4">
        <f>I14/(H14/100)^2</f>
        <v>29.242108636436463</v>
      </c>
      <c r="K14" s="9">
        <v>46044</v>
      </c>
      <c r="L14" s="10">
        <v>0.50069444444444444</v>
      </c>
      <c r="M14" s="11" t="s">
        <v>53</v>
      </c>
      <c r="N14" s="12" t="s">
        <v>29</v>
      </c>
      <c r="O14" s="10">
        <v>0.58472222222222225</v>
      </c>
      <c r="P14" s="11" t="s">
        <v>54</v>
      </c>
      <c r="Q14" s="12" t="s">
        <v>48</v>
      </c>
      <c r="R14" s="5"/>
    </row>
    <row r="15" spans="1:18" ht="15.95">
      <c r="A15" s="3" t="s">
        <v>55</v>
      </c>
      <c r="B15" s="3" t="s">
        <v>38</v>
      </c>
      <c r="C15" s="3">
        <v>20</v>
      </c>
      <c r="D15" s="3" t="s">
        <v>20</v>
      </c>
      <c r="E15" s="9">
        <v>46035</v>
      </c>
      <c r="F15" s="3">
        <v>76.599999999999994</v>
      </c>
      <c r="G15" s="3">
        <v>100.5</v>
      </c>
      <c r="H15" s="3">
        <v>175</v>
      </c>
      <c r="I15" s="3">
        <v>63.2</v>
      </c>
      <c r="J15" s="4">
        <f>I15/(H15/100)^2</f>
        <v>20.636734693877553</v>
      </c>
      <c r="K15" s="9">
        <v>46051</v>
      </c>
      <c r="L15" s="10">
        <v>0.49722222222222223</v>
      </c>
      <c r="M15" s="11">
        <v>4.7</v>
      </c>
      <c r="N15" s="12">
        <v>0.3</v>
      </c>
      <c r="O15" s="10">
        <v>0.59305555555555556</v>
      </c>
      <c r="P15" s="11">
        <v>4.7</v>
      </c>
      <c r="Q15" s="12">
        <v>0.7</v>
      </c>
      <c r="R15" s="5" t="s">
        <v>56</v>
      </c>
    </row>
    <row r="16" spans="1:18" ht="15.95">
      <c r="A16" s="3" t="s">
        <v>57</v>
      </c>
      <c r="B16" s="3" t="s">
        <v>38</v>
      </c>
      <c r="C16" s="3">
        <v>20</v>
      </c>
      <c r="D16" s="3" t="s">
        <v>26</v>
      </c>
      <c r="E16" s="9" t="s">
        <v>27</v>
      </c>
      <c r="F16" s="3">
        <v>75.7</v>
      </c>
      <c r="G16" s="3">
        <v>95.3</v>
      </c>
      <c r="H16" s="3">
        <v>167</v>
      </c>
      <c r="I16" s="3">
        <v>60.9</v>
      </c>
      <c r="J16" s="4">
        <f>I16/(H16/100)^2</f>
        <v>21.836566388181719</v>
      </c>
      <c r="K16" s="9">
        <v>46084</v>
      </c>
      <c r="L16" s="10">
        <v>0.50277777777777777</v>
      </c>
      <c r="M16" s="11">
        <v>4.5999999999999996</v>
      </c>
      <c r="N16" s="12">
        <v>0.6</v>
      </c>
      <c r="O16" s="10">
        <v>0.58819444444444446</v>
      </c>
      <c r="P16" s="11">
        <v>4.0999999999999996</v>
      </c>
      <c r="Q16" s="12">
        <v>0.6</v>
      </c>
      <c r="R16" s="5"/>
    </row>
    <row r="17" spans="1:18" ht="15.95">
      <c r="A17" s="3" t="s">
        <v>58</v>
      </c>
      <c r="B17" s="3" t="s">
        <v>38</v>
      </c>
      <c r="C17" s="3">
        <v>20</v>
      </c>
      <c r="D17" s="3" t="s">
        <v>20</v>
      </c>
      <c r="E17" s="9" t="s">
        <v>59</v>
      </c>
      <c r="F17" s="3">
        <v>72.3</v>
      </c>
      <c r="G17" s="3">
        <v>107.4</v>
      </c>
      <c r="H17" s="3">
        <v>169</v>
      </c>
      <c r="I17" s="3">
        <v>64.099999999999994</v>
      </c>
      <c r="J17" s="4">
        <f>I17/(H17/100)^2</f>
        <v>22.443191764994225</v>
      </c>
      <c r="K17" s="9">
        <v>46084</v>
      </c>
      <c r="L17" s="20">
        <v>0.56736111111111109</v>
      </c>
      <c r="M17" s="11">
        <v>4.9000000000000004</v>
      </c>
      <c r="N17" s="12">
        <v>1.2</v>
      </c>
      <c r="O17" s="10">
        <v>0.65486111111111112</v>
      </c>
      <c r="P17" s="11">
        <v>4.5999999999999996</v>
      </c>
      <c r="Q17" s="12">
        <v>1</v>
      </c>
      <c r="R17" s="5"/>
    </row>
    <row r="18" spans="1:18" ht="15.95">
      <c r="A18" s="3" t="s">
        <v>60</v>
      </c>
      <c r="B18" s="3" t="s">
        <v>38</v>
      </c>
      <c r="C18" s="3">
        <v>20</v>
      </c>
      <c r="D18" s="3" t="s">
        <v>20</v>
      </c>
      <c r="E18" s="9">
        <v>46072</v>
      </c>
      <c r="F18" s="3">
        <v>67.599999999999994</v>
      </c>
      <c r="G18" s="3">
        <v>101.8</v>
      </c>
      <c r="H18" s="3">
        <v>169</v>
      </c>
      <c r="I18" s="3">
        <v>59.8</v>
      </c>
      <c r="J18" s="4">
        <f>I18/(H18/100)^2</f>
        <v>20.937642239417389</v>
      </c>
      <c r="K18" s="9">
        <v>46087</v>
      </c>
      <c r="L18" s="20">
        <v>0.49930555555555556</v>
      </c>
      <c r="M18" s="11">
        <v>4.2</v>
      </c>
      <c r="N18" s="12">
        <v>0.2</v>
      </c>
      <c r="O18" s="10">
        <v>0.59444444444444444</v>
      </c>
      <c r="P18" s="11">
        <v>4.7</v>
      </c>
      <c r="Q18" s="12">
        <v>0.2</v>
      </c>
      <c r="R18" s="5"/>
    </row>
    <row r="19" spans="1:18" ht="15.95">
      <c r="A19" s="3" t="s">
        <v>61</v>
      </c>
      <c r="B19" s="3" t="s">
        <v>19</v>
      </c>
      <c r="C19" s="3">
        <v>20</v>
      </c>
      <c r="D19" s="3" t="s">
        <v>20</v>
      </c>
      <c r="E19" s="9">
        <v>46091</v>
      </c>
      <c r="F19" s="3">
        <v>69.7</v>
      </c>
      <c r="G19" s="3">
        <v>98</v>
      </c>
      <c r="H19" s="3">
        <v>165</v>
      </c>
      <c r="I19" s="3">
        <v>52.9</v>
      </c>
      <c r="J19" s="4">
        <f>I19/(H19/100)^2</f>
        <v>19.430670339761249</v>
      </c>
      <c r="K19" s="9">
        <v>46100</v>
      </c>
      <c r="L19" s="10">
        <v>0.50277777777777777</v>
      </c>
      <c r="M19" s="11">
        <v>5.2</v>
      </c>
      <c r="N19" s="12">
        <v>0.1</v>
      </c>
      <c r="O19" s="10">
        <v>0.60069444444444442</v>
      </c>
      <c r="P19" s="11">
        <v>5.3</v>
      </c>
      <c r="Q19" s="12">
        <v>0.3</v>
      </c>
      <c r="R19" s="5"/>
    </row>
    <row r="20" spans="1:18" ht="15.95">
      <c r="A20" s="3" t="s">
        <v>62</v>
      </c>
      <c r="B20" s="3" t="s">
        <v>38</v>
      </c>
      <c r="C20" s="3">
        <v>20</v>
      </c>
      <c r="D20" s="3" t="s">
        <v>20</v>
      </c>
      <c r="E20" s="9">
        <v>46099</v>
      </c>
      <c r="F20" s="3">
        <v>65.599999999999994</v>
      </c>
      <c r="G20" s="3">
        <v>100.4</v>
      </c>
      <c r="H20" s="3">
        <v>163</v>
      </c>
      <c r="I20" s="3">
        <v>58.4</v>
      </c>
      <c r="J20" s="4">
        <f>I20/(H20/100)^2</f>
        <v>21.980503594414543</v>
      </c>
      <c r="K20" s="9">
        <v>46101</v>
      </c>
      <c r="L20" s="10">
        <v>0.50972222222222219</v>
      </c>
      <c r="M20" s="11">
        <v>5.8</v>
      </c>
      <c r="N20" s="12">
        <v>0.5</v>
      </c>
      <c r="O20" s="10">
        <v>0.61597222222222225</v>
      </c>
      <c r="P20" s="11">
        <v>4.5999999999999996</v>
      </c>
      <c r="Q20" s="12">
        <v>0.6</v>
      </c>
      <c r="R20" s="5"/>
    </row>
    <row r="21" spans="1:18" ht="15.95">
      <c r="A21" s="3" t="s">
        <v>63</v>
      </c>
      <c r="B21" s="3" t="s">
        <v>19</v>
      </c>
      <c r="C21" s="3">
        <v>21</v>
      </c>
      <c r="D21" s="3" t="s">
        <v>20</v>
      </c>
      <c r="E21" s="9">
        <v>45996</v>
      </c>
      <c r="F21" s="3">
        <v>66.5</v>
      </c>
      <c r="G21" s="3">
        <v>99.7</v>
      </c>
      <c r="H21" s="3">
        <v>171.7</v>
      </c>
      <c r="I21" s="3">
        <v>60.1</v>
      </c>
      <c r="J21" s="4">
        <f>I21/(H21/100)^2</f>
        <v>20.386087394240814</v>
      </c>
      <c r="K21" s="9">
        <v>46006</v>
      </c>
      <c r="L21" s="10">
        <v>0.50763888888888886</v>
      </c>
      <c r="M21" s="11" t="s">
        <v>64</v>
      </c>
      <c r="N21" s="12" t="s">
        <v>48</v>
      </c>
      <c r="O21" s="10">
        <v>0.6</v>
      </c>
      <c r="P21" s="11" t="s">
        <v>65</v>
      </c>
      <c r="Q21" s="12" t="s">
        <v>66</v>
      </c>
      <c r="R21" s="5"/>
    </row>
    <row r="22" spans="1:18" ht="15.95">
      <c r="A22" s="3" t="s">
        <v>67</v>
      </c>
      <c r="B22" s="3" t="s">
        <v>38</v>
      </c>
      <c r="C22" s="3">
        <v>21</v>
      </c>
      <c r="D22" s="3" t="s">
        <v>20</v>
      </c>
      <c r="E22" s="9">
        <v>46010</v>
      </c>
      <c r="F22" s="3">
        <v>65</v>
      </c>
      <c r="G22" s="3">
        <v>88.9</v>
      </c>
      <c r="H22" s="3">
        <v>155</v>
      </c>
      <c r="I22" s="3">
        <v>44.5</v>
      </c>
      <c r="J22" s="4">
        <f>I22/(H22/100)^2</f>
        <v>18.522372528616021</v>
      </c>
      <c r="K22" s="9">
        <v>46035</v>
      </c>
      <c r="L22" s="10">
        <v>0.49652777777777779</v>
      </c>
      <c r="M22" s="11">
        <v>4.7</v>
      </c>
      <c r="N22" s="12">
        <v>0.2</v>
      </c>
      <c r="O22" s="10">
        <v>0.59791666666666665</v>
      </c>
      <c r="P22" s="11">
        <v>4.5999999999999996</v>
      </c>
      <c r="Q22" s="12">
        <v>0.3</v>
      </c>
      <c r="R22" s="5"/>
    </row>
    <row r="23" spans="1:18" ht="15.95">
      <c r="A23" s="3" t="s">
        <v>68</v>
      </c>
      <c r="B23" s="3" t="s">
        <v>38</v>
      </c>
      <c r="C23" s="3">
        <v>21</v>
      </c>
      <c r="D23" s="3" t="s">
        <v>20</v>
      </c>
      <c r="E23" s="9">
        <v>45981</v>
      </c>
      <c r="F23" s="3">
        <v>79.099999999999994</v>
      </c>
      <c r="G23" s="3">
        <v>101.5</v>
      </c>
      <c r="H23" s="3">
        <v>157</v>
      </c>
      <c r="I23" s="3">
        <v>59.7</v>
      </c>
      <c r="J23" s="4">
        <f>I23/(H23/100)^2</f>
        <v>24.220049494908515</v>
      </c>
      <c r="K23" s="9">
        <v>46041</v>
      </c>
      <c r="L23" s="10">
        <v>0.49861111111111112</v>
      </c>
      <c r="M23" s="11">
        <v>5.2</v>
      </c>
      <c r="N23" s="12">
        <v>0.4</v>
      </c>
      <c r="O23" s="10">
        <v>0.59513888888888888</v>
      </c>
      <c r="P23" s="11">
        <v>4.4000000000000004</v>
      </c>
      <c r="Q23" s="12">
        <v>0.5</v>
      </c>
      <c r="R23" s="5"/>
    </row>
    <row r="24" spans="1:18" ht="15.95">
      <c r="A24" s="3" t="s">
        <v>69</v>
      </c>
      <c r="B24" s="3" t="s">
        <v>19</v>
      </c>
      <c r="C24" s="3">
        <v>21</v>
      </c>
      <c r="D24" s="3" t="s">
        <v>26</v>
      </c>
      <c r="E24" s="9" t="s">
        <v>27</v>
      </c>
      <c r="F24" s="3">
        <v>88.5</v>
      </c>
      <c r="G24" s="3">
        <v>102.6</v>
      </c>
      <c r="H24" s="3">
        <v>185</v>
      </c>
      <c r="I24" s="3">
        <v>83.2</v>
      </c>
      <c r="J24" s="4">
        <f>I24/(H24/100)^2</f>
        <v>24.309715120525929</v>
      </c>
      <c r="K24" s="9" t="s">
        <v>70</v>
      </c>
      <c r="L24" s="10">
        <v>0.57361111111111107</v>
      </c>
      <c r="M24" s="11">
        <v>7.8</v>
      </c>
      <c r="N24" s="12">
        <v>0.1</v>
      </c>
      <c r="O24" s="10">
        <v>0.67361111111111116</v>
      </c>
      <c r="P24" s="11">
        <v>4.9000000000000004</v>
      </c>
      <c r="Q24" s="12">
        <v>0.3</v>
      </c>
      <c r="R24" s="5"/>
    </row>
    <row r="25" spans="1:18" ht="15.95">
      <c r="A25" s="3" t="s">
        <v>71</v>
      </c>
      <c r="B25" s="3" t="s">
        <v>38</v>
      </c>
      <c r="C25" s="3">
        <v>21</v>
      </c>
      <c r="D25" s="3" t="s">
        <v>20</v>
      </c>
      <c r="E25" s="9">
        <v>46082</v>
      </c>
      <c r="F25" s="3">
        <v>65.5</v>
      </c>
      <c r="G25" s="3">
        <v>94.6</v>
      </c>
      <c r="H25" s="3">
        <v>170</v>
      </c>
      <c r="I25" s="3">
        <v>52.1</v>
      </c>
      <c r="J25" s="4">
        <f>I25/(H25/100)^2</f>
        <v>18.027681660899656</v>
      </c>
      <c r="K25" s="9">
        <v>46083</v>
      </c>
      <c r="L25" s="10">
        <v>0.57430555555555551</v>
      </c>
      <c r="M25" s="11">
        <v>4.7</v>
      </c>
      <c r="N25" s="12">
        <v>0.5</v>
      </c>
      <c r="O25" s="10">
        <v>0.66111111111111109</v>
      </c>
      <c r="P25" s="11">
        <v>4.4000000000000004</v>
      </c>
      <c r="Q25" s="12">
        <v>0.4</v>
      </c>
      <c r="R25" s="5"/>
    </row>
    <row r="26" spans="1:18" ht="15.95">
      <c r="A26" s="3" t="s">
        <v>72</v>
      </c>
      <c r="B26" s="3" t="s">
        <v>19</v>
      </c>
      <c r="C26" s="3">
        <v>21</v>
      </c>
      <c r="D26" s="3" t="s">
        <v>26</v>
      </c>
      <c r="E26" s="9" t="s">
        <v>27</v>
      </c>
      <c r="F26" s="3">
        <v>78.099999999999994</v>
      </c>
      <c r="G26" s="3">
        <v>104.3</v>
      </c>
      <c r="H26" s="3">
        <v>191</v>
      </c>
      <c r="I26" s="3">
        <v>81</v>
      </c>
      <c r="J26" s="4">
        <f>I26/(H26/100)^2</f>
        <v>22.203338724267429</v>
      </c>
      <c r="K26" s="9">
        <v>46086</v>
      </c>
      <c r="L26" s="20">
        <v>0.57499999999999996</v>
      </c>
      <c r="M26" s="11">
        <v>5.6</v>
      </c>
      <c r="N26" s="12">
        <v>0.1</v>
      </c>
      <c r="O26" s="10">
        <v>0.6645833333333333</v>
      </c>
      <c r="P26" s="11">
        <v>5.4</v>
      </c>
      <c r="Q26" s="12">
        <v>0.2</v>
      </c>
      <c r="R26" s="5"/>
    </row>
    <row r="27" spans="1:18" ht="15.95">
      <c r="A27" s="3" t="s">
        <v>73</v>
      </c>
      <c r="B27" s="3" t="s">
        <v>38</v>
      </c>
      <c r="C27" s="3">
        <v>21</v>
      </c>
      <c r="D27" s="3" t="s">
        <v>20</v>
      </c>
      <c r="E27" s="9">
        <v>46082</v>
      </c>
      <c r="F27" s="3">
        <v>70.2</v>
      </c>
      <c r="G27" s="3">
        <v>98.6</v>
      </c>
      <c r="H27" s="3">
        <v>171</v>
      </c>
      <c r="I27" s="3">
        <v>63.3</v>
      </c>
      <c r="J27" s="4">
        <f>I27/(H27/100)^2</f>
        <v>21.647686467631068</v>
      </c>
      <c r="K27" s="9" t="s">
        <v>74</v>
      </c>
      <c r="L27" s="10">
        <v>0.58680555555555558</v>
      </c>
      <c r="M27" s="11">
        <v>3.9</v>
      </c>
      <c r="N27" s="12">
        <v>0.4</v>
      </c>
      <c r="O27" s="10">
        <v>0.70138888888888884</v>
      </c>
      <c r="P27" s="11">
        <v>4.2</v>
      </c>
      <c r="Q27" s="12">
        <v>0.7</v>
      </c>
      <c r="R27" s="5"/>
    </row>
    <row r="28" spans="1:18" ht="15.95">
      <c r="A28" s="3" t="s">
        <v>75</v>
      </c>
      <c r="B28" s="3" t="s">
        <v>38</v>
      </c>
      <c r="C28" s="3">
        <v>21</v>
      </c>
      <c r="D28" s="3" t="s">
        <v>26</v>
      </c>
      <c r="E28" s="9" t="s">
        <v>44</v>
      </c>
      <c r="F28" s="3">
        <v>82.9</v>
      </c>
      <c r="G28" s="3">
        <v>106.6</v>
      </c>
      <c r="H28" s="3">
        <v>189</v>
      </c>
      <c r="I28" s="3">
        <v>86.1</v>
      </c>
      <c r="J28" s="4">
        <f>I28/(H28/100)^2</f>
        <v>24.103468547912993</v>
      </c>
      <c r="K28" s="9" t="s">
        <v>76</v>
      </c>
      <c r="L28" s="10">
        <v>0.56874999999999998</v>
      </c>
      <c r="M28" s="11">
        <v>4.9000000000000004</v>
      </c>
      <c r="N28" s="12">
        <v>0.8</v>
      </c>
      <c r="O28" s="10">
        <v>0.64930555555555558</v>
      </c>
      <c r="P28" s="11">
        <v>4.7</v>
      </c>
      <c r="Q28" s="12">
        <v>0.6</v>
      </c>
      <c r="R28" s="5"/>
    </row>
    <row r="29" spans="1:18" ht="15.95">
      <c r="A29" s="3" t="s">
        <v>77</v>
      </c>
      <c r="B29" s="3" t="s">
        <v>19</v>
      </c>
      <c r="C29" s="3">
        <v>21</v>
      </c>
      <c r="D29" s="3" t="s">
        <v>20</v>
      </c>
      <c r="E29" s="9">
        <v>46083</v>
      </c>
      <c r="F29" s="3">
        <v>62.8</v>
      </c>
      <c r="G29" s="3">
        <v>93</v>
      </c>
      <c r="H29" s="3">
        <v>173</v>
      </c>
      <c r="I29" s="3">
        <v>54.7</v>
      </c>
      <c r="J29" s="4">
        <f>I29/(H29/100)^2</f>
        <v>18.276587924755255</v>
      </c>
      <c r="K29" s="9">
        <v>46098</v>
      </c>
      <c r="L29" s="10">
        <v>0.57847222222222228</v>
      </c>
      <c r="M29" s="11">
        <v>6.2</v>
      </c>
      <c r="N29" s="12">
        <v>0.2</v>
      </c>
      <c r="O29" s="10">
        <v>0.67152777777777772</v>
      </c>
      <c r="P29" s="11">
        <v>4.7</v>
      </c>
      <c r="Q29" s="12">
        <v>0</v>
      </c>
      <c r="R29" s="5"/>
    </row>
    <row r="30" spans="1:18" ht="15.95">
      <c r="A30" s="3" t="s">
        <v>78</v>
      </c>
      <c r="B30" s="3" t="s">
        <v>38</v>
      </c>
      <c r="C30" s="3">
        <v>21</v>
      </c>
      <c r="D30" s="3" t="s">
        <v>20</v>
      </c>
      <c r="E30" s="9">
        <v>46086</v>
      </c>
      <c r="F30" s="3">
        <v>66.8</v>
      </c>
      <c r="G30" s="3">
        <v>97.6</v>
      </c>
      <c r="H30" s="3">
        <v>159</v>
      </c>
      <c r="I30" s="3">
        <v>56.8</v>
      </c>
      <c r="J30" s="4">
        <f>I30/(H30/100)^2</f>
        <v>22.467465685692808</v>
      </c>
      <c r="K30" s="9">
        <v>46101</v>
      </c>
      <c r="L30" s="20">
        <v>0.57708333333333328</v>
      </c>
      <c r="M30" s="11">
        <v>5.3</v>
      </c>
      <c r="N30" s="12">
        <v>0.4</v>
      </c>
      <c r="O30" s="10">
        <v>0.68402777777777779</v>
      </c>
      <c r="P30" s="11">
        <v>5.3</v>
      </c>
      <c r="Q30" s="12">
        <v>0.7</v>
      </c>
      <c r="R30" s="5"/>
    </row>
    <row r="31" spans="1:18" ht="15.95">
      <c r="A31" s="3" t="s">
        <v>79</v>
      </c>
      <c r="B31" s="3" t="s">
        <v>38</v>
      </c>
      <c r="C31" s="3">
        <v>21</v>
      </c>
      <c r="D31" s="3" t="s">
        <v>26</v>
      </c>
      <c r="E31" s="9" t="s">
        <v>44</v>
      </c>
      <c r="F31" s="3">
        <v>73.5</v>
      </c>
      <c r="G31" s="3">
        <v>92.4</v>
      </c>
      <c r="H31" s="3">
        <v>178</v>
      </c>
      <c r="I31" s="3">
        <v>62.8</v>
      </c>
      <c r="J31" s="4">
        <f>I31/(H31/100)^2</f>
        <v>19.820729705845221</v>
      </c>
      <c r="K31" s="9">
        <v>46105</v>
      </c>
      <c r="L31" s="20">
        <v>0.57499999999999996</v>
      </c>
      <c r="M31" s="11">
        <v>5.6</v>
      </c>
      <c r="N31" s="12">
        <v>0.1</v>
      </c>
      <c r="O31" s="10">
        <v>0.65763888888888888</v>
      </c>
      <c r="P31" s="11">
        <v>5.7</v>
      </c>
      <c r="Q31" s="12">
        <v>0.2</v>
      </c>
      <c r="R31" s="5"/>
    </row>
    <row r="32" spans="1:18" ht="15.95">
      <c r="A32" s="3" t="s">
        <v>80</v>
      </c>
      <c r="B32" s="3" t="s">
        <v>19</v>
      </c>
      <c r="C32" s="3">
        <v>22</v>
      </c>
      <c r="D32" s="3" t="s">
        <v>26</v>
      </c>
      <c r="E32" s="9" t="s">
        <v>27</v>
      </c>
      <c r="F32" s="3">
        <v>85</v>
      </c>
      <c r="G32" s="3">
        <v>100.1</v>
      </c>
      <c r="H32" s="3">
        <v>174</v>
      </c>
      <c r="I32" s="3">
        <v>69.5</v>
      </c>
      <c r="J32" s="4">
        <f>I32/(H32/100)^2</f>
        <v>22.955476284846082</v>
      </c>
      <c r="K32" s="9">
        <v>46042</v>
      </c>
      <c r="L32" s="10">
        <v>0.49444444444444446</v>
      </c>
      <c r="M32" s="11">
        <v>7.2</v>
      </c>
      <c r="N32" s="12">
        <v>0.2</v>
      </c>
      <c r="O32" s="10">
        <v>0.58333333333333337</v>
      </c>
      <c r="P32" s="16" t="s">
        <v>33</v>
      </c>
      <c r="Q32" s="17" t="s">
        <v>29</v>
      </c>
      <c r="R32" s="5"/>
    </row>
    <row r="33" spans="1:18" ht="15.95">
      <c r="A33" s="3" t="s">
        <v>81</v>
      </c>
      <c r="B33" s="3" t="s">
        <v>38</v>
      </c>
      <c r="C33" s="3">
        <v>22</v>
      </c>
      <c r="D33" s="3" t="s">
        <v>20</v>
      </c>
      <c r="E33" s="9" t="s">
        <v>22</v>
      </c>
      <c r="F33" s="3">
        <v>78</v>
      </c>
      <c r="G33" s="3">
        <v>106.8</v>
      </c>
      <c r="H33" s="3">
        <v>161</v>
      </c>
      <c r="I33" s="3">
        <v>65.900000000000006</v>
      </c>
      <c r="J33" s="4">
        <f>I33/(H33/100)^2</f>
        <v>25.423401874927663</v>
      </c>
      <c r="K33" s="9" t="s">
        <v>22</v>
      </c>
      <c r="L33" s="10">
        <v>0.50902777777777775</v>
      </c>
      <c r="M33" s="11">
        <v>5.3</v>
      </c>
      <c r="N33" s="12">
        <v>0.4</v>
      </c>
      <c r="O33" s="10">
        <v>0.57638888888888884</v>
      </c>
      <c r="P33" s="11">
        <v>4.4000000000000004</v>
      </c>
      <c r="Q33" s="12">
        <v>0.4</v>
      </c>
      <c r="R33" s="5"/>
    </row>
    <row r="34" spans="1:18" ht="15.95">
      <c r="A34" s="3" t="s">
        <v>82</v>
      </c>
      <c r="B34" s="3" t="s">
        <v>38</v>
      </c>
      <c r="C34" s="3">
        <v>22</v>
      </c>
      <c r="D34" s="3" t="s">
        <v>20</v>
      </c>
      <c r="E34" s="9">
        <v>46051</v>
      </c>
      <c r="F34" s="3">
        <v>68.8</v>
      </c>
      <c r="G34" s="3">
        <v>87.9</v>
      </c>
      <c r="H34" s="3">
        <v>160</v>
      </c>
      <c r="I34" s="3">
        <v>50.4</v>
      </c>
      <c r="J34" s="4">
        <f>I34/(H34/100)^2</f>
        <v>19.687499999999996</v>
      </c>
      <c r="K34" s="9">
        <v>46051</v>
      </c>
      <c r="L34" s="10">
        <v>0.56736111111111109</v>
      </c>
      <c r="M34" s="11">
        <v>4.9000000000000004</v>
      </c>
      <c r="N34" s="12">
        <v>0.6</v>
      </c>
      <c r="O34" s="10">
        <v>0.64930555555555558</v>
      </c>
      <c r="P34" s="11">
        <v>4.4000000000000004</v>
      </c>
      <c r="Q34" s="12">
        <v>0.8</v>
      </c>
      <c r="R34" s="5"/>
    </row>
    <row r="35" spans="1:18" ht="15.95">
      <c r="A35" s="3" t="s">
        <v>83</v>
      </c>
      <c r="B35" s="3" t="s">
        <v>38</v>
      </c>
      <c r="C35" s="3">
        <v>22</v>
      </c>
      <c r="D35" s="3" t="s">
        <v>20</v>
      </c>
      <c r="E35" s="9">
        <v>46087</v>
      </c>
      <c r="F35" s="3">
        <v>65.5</v>
      </c>
      <c r="G35" s="3">
        <v>91</v>
      </c>
      <c r="H35" s="3">
        <v>163</v>
      </c>
      <c r="I35" s="3">
        <v>49.9</v>
      </c>
      <c r="J35" s="4">
        <f>I35/(H35/100)^2</f>
        <v>18.781286461665854</v>
      </c>
      <c r="K35" s="9">
        <v>46107</v>
      </c>
      <c r="L35" s="10">
        <v>0.56944444444444442</v>
      </c>
      <c r="M35" s="11">
        <v>4.4000000000000004</v>
      </c>
      <c r="N35" s="12">
        <v>0.3</v>
      </c>
      <c r="O35" s="10">
        <v>0.64930555555555558</v>
      </c>
      <c r="P35" s="11">
        <v>4.7</v>
      </c>
      <c r="Q35" s="12">
        <v>0.7</v>
      </c>
      <c r="R35" s="5"/>
    </row>
    <row r="36" spans="1:18" ht="15.95">
      <c r="A36" s="3" t="s">
        <v>84</v>
      </c>
      <c r="B36" s="3" t="s">
        <v>19</v>
      </c>
      <c r="C36" s="3">
        <v>22</v>
      </c>
      <c r="D36" s="3" t="s">
        <v>26</v>
      </c>
      <c r="E36" s="9" t="s">
        <v>85</v>
      </c>
      <c r="F36" s="3">
        <v>74</v>
      </c>
      <c r="G36" s="3">
        <v>95.2</v>
      </c>
      <c r="H36" s="3">
        <v>185</v>
      </c>
      <c r="I36" s="3">
        <v>69.3</v>
      </c>
      <c r="J36" s="4">
        <f>I36/(H36/100)^2</f>
        <v>20.248356464572677</v>
      </c>
      <c r="K36" s="9">
        <v>46108</v>
      </c>
      <c r="L36" s="20">
        <v>0.57291666666666663</v>
      </c>
      <c r="M36" s="11">
        <v>8.4</v>
      </c>
      <c r="N36" s="12">
        <v>0</v>
      </c>
      <c r="O36" s="10">
        <v>0.65069444444444446</v>
      </c>
      <c r="P36" s="11">
        <v>5.8</v>
      </c>
      <c r="Q36" s="12">
        <v>0</v>
      </c>
      <c r="R36" s="5"/>
    </row>
    <row r="37" spans="1:18" ht="15.95">
      <c r="A37" s="3" t="s">
        <v>86</v>
      </c>
      <c r="B37" s="3" t="s">
        <v>38</v>
      </c>
      <c r="C37" s="3">
        <v>24</v>
      </c>
      <c r="D37" s="3" t="s">
        <v>26</v>
      </c>
      <c r="E37" s="9" t="s">
        <v>27</v>
      </c>
      <c r="F37" s="3">
        <v>88.1</v>
      </c>
      <c r="G37" s="3">
        <v>104.8</v>
      </c>
      <c r="H37" s="3">
        <v>190</v>
      </c>
      <c r="I37" s="3">
        <v>88.9</v>
      </c>
      <c r="J37" s="4">
        <f>I37/(H37/100)^2</f>
        <v>24.626038781163437</v>
      </c>
      <c r="K37" s="9">
        <v>46009</v>
      </c>
      <c r="L37" s="10">
        <v>0.50486111111111109</v>
      </c>
      <c r="M37" s="16" t="s">
        <v>33</v>
      </c>
      <c r="N37" s="17" t="s">
        <v>87</v>
      </c>
      <c r="O37" s="10">
        <v>0.58680555555555558</v>
      </c>
      <c r="P37" s="16" t="s">
        <v>33</v>
      </c>
      <c r="Q37" s="17" t="s">
        <v>88</v>
      </c>
      <c r="R37" s="5"/>
    </row>
    <row r="38" spans="1:18" ht="15.95">
      <c r="A38" s="3" t="s">
        <v>89</v>
      </c>
      <c r="B38" s="3" t="s">
        <v>19</v>
      </c>
      <c r="C38" s="3">
        <v>24</v>
      </c>
      <c r="D38" s="3" t="s">
        <v>26</v>
      </c>
      <c r="E38" s="9" t="s">
        <v>27</v>
      </c>
      <c r="F38" s="3">
        <v>89.4</v>
      </c>
      <c r="G38" s="3">
        <v>99.5</v>
      </c>
      <c r="H38" s="3">
        <v>172.5</v>
      </c>
      <c r="I38" s="3">
        <v>75.599999999999994</v>
      </c>
      <c r="J38" s="4">
        <f>I38/(H38/100)^2</f>
        <v>25.406427221172017</v>
      </c>
      <c r="K38" s="9" t="s">
        <v>90</v>
      </c>
      <c r="L38" s="10">
        <v>0.57222222222222219</v>
      </c>
      <c r="M38" s="11">
        <v>5.7</v>
      </c>
      <c r="N38" s="12">
        <v>0.2</v>
      </c>
      <c r="O38" s="10">
        <v>0.67152777777777772</v>
      </c>
      <c r="P38" s="11">
        <v>5.3</v>
      </c>
      <c r="Q38" s="12">
        <v>0.2</v>
      </c>
      <c r="R38" s="5"/>
    </row>
    <row r="39" spans="1:18" ht="15.95">
      <c r="A39" s="3" t="s">
        <v>91</v>
      </c>
      <c r="B39" s="3" t="s">
        <v>19</v>
      </c>
      <c r="C39" s="3">
        <v>25</v>
      </c>
      <c r="D39" s="3" t="s">
        <v>20</v>
      </c>
      <c r="E39" s="9">
        <v>46119</v>
      </c>
      <c r="F39" s="3">
        <v>72</v>
      </c>
      <c r="G39" s="3">
        <v>98.7</v>
      </c>
      <c r="H39" s="3">
        <v>177.5</v>
      </c>
      <c r="I39" s="3">
        <v>67.8</v>
      </c>
      <c r="J39" s="4">
        <f>I39/(H39/100)^2</f>
        <v>21.519539773854394</v>
      </c>
      <c r="K39" s="9">
        <v>46121</v>
      </c>
      <c r="L39" s="10">
        <v>0.49861111111111112</v>
      </c>
      <c r="M39" s="11">
        <v>4.5</v>
      </c>
      <c r="N39" s="12">
        <v>0.2</v>
      </c>
      <c r="O39" s="10">
        <v>0.58680555555555558</v>
      </c>
      <c r="P39" s="11">
        <v>4.3</v>
      </c>
      <c r="Q39" s="12">
        <v>0.2</v>
      </c>
      <c r="R39" s="5"/>
    </row>
    <row r="40" spans="1:18" ht="15.95">
      <c r="A40" s="3" t="s">
        <v>92</v>
      </c>
      <c r="B40" s="3" t="s">
        <v>38</v>
      </c>
      <c r="C40" s="3">
        <v>27</v>
      </c>
      <c r="D40" s="3" t="s">
        <v>26</v>
      </c>
      <c r="E40" s="9" t="s">
        <v>27</v>
      </c>
      <c r="F40" s="3">
        <v>75.3</v>
      </c>
      <c r="G40" s="3">
        <v>92.4</v>
      </c>
      <c r="H40" s="3">
        <v>183</v>
      </c>
      <c r="I40" s="3">
        <v>63.9</v>
      </c>
      <c r="J40" s="4">
        <f>I40/(H40/100)^2</f>
        <v>19.080892233270625</v>
      </c>
      <c r="K40" s="9">
        <v>46056</v>
      </c>
      <c r="L40" s="10">
        <v>0.56944444444444442</v>
      </c>
      <c r="M40" s="11">
        <v>5</v>
      </c>
      <c r="N40" s="12">
        <v>0.2</v>
      </c>
      <c r="O40" s="10">
        <v>0.65972222222222221</v>
      </c>
      <c r="P40" s="11">
        <v>4.8</v>
      </c>
      <c r="Q40" s="12">
        <v>0.4</v>
      </c>
      <c r="R40" s="5"/>
    </row>
    <row r="41" spans="1:18" ht="15.95">
      <c r="A41" s="3" t="s">
        <v>93</v>
      </c>
      <c r="B41" s="3" t="s">
        <v>38</v>
      </c>
      <c r="C41" s="3">
        <v>29</v>
      </c>
      <c r="D41" s="3" t="s">
        <v>26</v>
      </c>
      <c r="E41" s="9" t="s">
        <v>27</v>
      </c>
      <c r="F41" s="3">
        <v>71</v>
      </c>
      <c r="G41" s="3">
        <v>92</v>
      </c>
      <c r="H41" s="3">
        <v>164</v>
      </c>
      <c r="I41" s="3">
        <v>55.3</v>
      </c>
      <c r="J41" s="4">
        <f>I41/(H41/100)^2</f>
        <v>20.560678167757288</v>
      </c>
      <c r="K41" s="9">
        <v>46037</v>
      </c>
      <c r="L41" s="10">
        <v>0.57361111111111107</v>
      </c>
      <c r="M41" s="11">
        <v>4.9000000000000004</v>
      </c>
      <c r="N41" s="12">
        <v>0.1</v>
      </c>
      <c r="O41" s="10">
        <v>0.67222222222222228</v>
      </c>
      <c r="P41" s="11">
        <v>4.3</v>
      </c>
      <c r="Q41" s="12">
        <v>0.1</v>
      </c>
      <c r="R41" s="5"/>
    </row>
    <row r="42" spans="1:18" ht="15.95">
      <c r="A42" s="3" t="s">
        <v>94</v>
      </c>
      <c r="B42" s="3" t="s">
        <v>19</v>
      </c>
      <c r="C42" s="3">
        <v>29</v>
      </c>
      <c r="D42" s="3" t="s">
        <v>26</v>
      </c>
      <c r="E42" s="9" t="s">
        <v>27</v>
      </c>
      <c r="F42" s="3">
        <v>88.7</v>
      </c>
      <c r="G42" s="3">
        <v>103.6</v>
      </c>
      <c r="H42" s="3">
        <v>183.5</v>
      </c>
      <c r="I42" s="3">
        <v>85.2</v>
      </c>
      <c r="J42" s="4">
        <f>I42/(H42/100)^2</f>
        <v>25.302734447504996</v>
      </c>
      <c r="K42" s="9">
        <v>46083</v>
      </c>
      <c r="L42" s="10">
        <v>0.49236111111111114</v>
      </c>
      <c r="M42" s="11">
        <v>5.3</v>
      </c>
      <c r="N42" s="12">
        <v>0.3</v>
      </c>
      <c r="O42" s="10">
        <v>0.57638888888888884</v>
      </c>
      <c r="P42" s="11">
        <v>4.0999999999999996</v>
      </c>
      <c r="Q42" s="12">
        <v>0.2</v>
      </c>
      <c r="R42" s="5"/>
    </row>
    <row r="43" spans="1:18" ht="15.75">
      <c r="A43" s="3" t="s">
        <v>95</v>
      </c>
      <c r="B43" s="3" t="s">
        <v>38</v>
      </c>
      <c r="C43" s="3">
        <v>25</v>
      </c>
      <c r="D43" s="3" t="s">
        <v>20</v>
      </c>
      <c r="E43" s="9">
        <v>46121</v>
      </c>
      <c r="F43" s="3">
        <v>71</v>
      </c>
      <c r="G43" s="3">
        <v>107</v>
      </c>
      <c r="H43" s="3">
        <v>165</v>
      </c>
      <c r="I43" s="3">
        <v>66.3</v>
      </c>
      <c r="J43" s="4">
        <f>I43/(H43/100)^2</f>
        <v>24.352617079889807</v>
      </c>
      <c r="K43" s="9">
        <v>46122</v>
      </c>
      <c r="L43" s="20">
        <v>0.49930555555555556</v>
      </c>
      <c r="M43" s="11">
        <v>4.8</v>
      </c>
      <c r="N43" s="12">
        <v>0.2</v>
      </c>
      <c r="O43" s="10">
        <v>0.58888888888888891</v>
      </c>
      <c r="P43" s="11">
        <v>4.5</v>
      </c>
      <c r="Q43" s="12">
        <v>0.3</v>
      </c>
      <c r="R43" s="5"/>
    </row>
    <row r="44" spans="1:18" ht="15.75">
      <c r="A44" s="3" t="s">
        <v>96</v>
      </c>
      <c r="B44" s="3" t="s">
        <v>19</v>
      </c>
      <c r="C44" s="3">
        <v>26</v>
      </c>
      <c r="D44" s="3" t="s">
        <v>26</v>
      </c>
      <c r="E44" s="9" t="s">
        <v>27</v>
      </c>
      <c r="F44" s="3">
        <v>78</v>
      </c>
      <c r="G44" s="3">
        <v>99</v>
      </c>
      <c r="H44" s="3">
        <v>171</v>
      </c>
      <c r="I44" s="3">
        <v>70.099999999999994</v>
      </c>
      <c r="J44" s="4">
        <f t="shared" ref="J44:J70" si="0">I44/(H44/100)^2</f>
        <v>23.973188331452413</v>
      </c>
      <c r="K44" s="9">
        <v>46125</v>
      </c>
      <c r="L44" s="20">
        <v>0.58333333333333337</v>
      </c>
      <c r="M44" s="11">
        <v>7.2</v>
      </c>
      <c r="N44" s="12">
        <v>0.1</v>
      </c>
      <c r="O44" s="10">
        <v>0.6743055555555556</v>
      </c>
      <c r="P44" s="11">
        <v>5.8</v>
      </c>
      <c r="Q44" s="12">
        <v>0</v>
      </c>
      <c r="R44" s="5"/>
    </row>
    <row r="45" spans="1:18" ht="15.75">
      <c r="A45" s="3"/>
      <c r="B45" s="3"/>
      <c r="C45" s="3"/>
      <c r="D45" s="3"/>
      <c r="E45" s="9"/>
      <c r="F45" s="3"/>
      <c r="G45" s="3"/>
      <c r="H45" s="3"/>
      <c r="I45" s="3"/>
      <c r="J45" s="4" t="e">
        <f t="shared" si="0"/>
        <v>#DIV/0!</v>
      </c>
      <c r="K45" s="9"/>
      <c r="L45" s="20"/>
      <c r="M45" s="11"/>
      <c r="N45" s="12"/>
      <c r="O45" s="10"/>
      <c r="P45" s="11"/>
      <c r="Q45" s="12"/>
      <c r="R45" s="5"/>
    </row>
    <row r="46" spans="1:18" ht="15.75">
      <c r="A46" s="3"/>
      <c r="B46" s="3"/>
      <c r="C46" s="3"/>
      <c r="D46" s="3"/>
      <c r="E46" s="9"/>
      <c r="F46" s="3"/>
      <c r="G46" s="3"/>
      <c r="H46" s="3"/>
      <c r="I46" s="3"/>
      <c r="J46" s="4" t="e">
        <f t="shared" si="0"/>
        <v>#DIV/0!</v>
      </c>
      <c r="K46" s="9"/>
      <c r="L46" s="20"/>
      <c r="M46" s="11"/>
      <c r="N46" s="12"/>
      <c r="O46" s="10"/>
      <c r="P46" s="11"/>
      <c r="Q46" s="12"/>
      <c r="R46" s="5"/>
    </row>
    <row r="47" spans="1:18" ht="15.75">
      <c r="A47" s="3"/>
      <c r="B47" s="3"/>
      <c r="C47" s="3"/>
      <c r="D47" s="3"/>
      <c r="E47" s="9"/>
      <c r="F47" s="3"/>
      <c r="G47" s="3"/>
      <c r="H47" s="3"/>
      <c r="I47" s="3"/>
      <c r="J47" s="4" t="e">
        <f t="shared" si="0"/>
        <v>#DIV/0!</v>
      </c>
      <c r="K47" s="9"/>
      <c r="L47" s="20"/>
      <c r="M47" s="11"/>
      <c r="N47" s="12"/>
      <c r="O47" s="10"/>
      <c r="P47" s="11"/>
      <c r="Q47" s="12"/>
      <c r="R47" s="5"/>
    </row>
    <row r="48" spans="1:18" ht="15.75">
      <c r="A48" s="3"/>
      <c r="B48" s="3"/>
      <c r="C48" s="3"/>
      <c r="D48" s="3"/>
      <c r="E48" s="9"/>
      <c r="F48" s="3"/>
      <c r="G48" s="3"/>
      <c r="H48" s="3"/>
      <c r="I48" s="3"/>
      <c r="J48" s="4" t="e">
        <f t="shared" si="0"/>
        <v>#DIV/0!</v>
      </c>
      <c r="K48" s="9"/>
      <c r="L48" s="20"/>
      <c r="M48" s="11"/>
      <c r="N48" s="12"/>
      <c r="O48" s="10"/>
      <c r="P48" s="11"/>
      <c r="Q48" s="12"/>
      <c r="R48" s="5"/>
    </row>
    <row r="49" spans="1:24" ht="15.75">
      <c r="A49" s="3"/>
      <c r="B49" s="3"/>
      <c r="C49" s="3"/>
      <c r="D49" s="3"/>
      <c r="E49" s="9"/>
      <c r="F49" s="3"/>
      <c r="G49" s="3"/>
      <c r="H49" s="3"/>
      <c r="I49" s="3"/>
      <c r="J49" s="4" t="e">
        <f t="shared" si="0"/>
        <v>#DIV/0!</v>
      </c>
      <c r="K49" s="9"/>
      <c r="L49" s="20"/>
      <c r="M49" s="11"/>
      <c r="N49" s="12"/>
      <c r="O49" s="10"/>
      <c r="P49" s="11"/>
      <c r="Q49" s="12"/>
      <c r="R49" s="5"/>
      <c r="S49" s="1"/>
      <c r="T49" s="1"/>
      <c r="U49" s="1"/>
      <c r="V49" s="1"/>
      <c r="W49" s="1"/>
      <c r="X49" s="1"/>
    </row>
    <row r="50" spans="1:24" ht="15.75">
      <c r="A50" s="3"/>
      <c r="B50" s="3"/>
      <c r="C50" s="3"/>
      <c r="D50" s="3"/>
      <c r="E50" s="9"/>
      <c r="F50" s="3"/>
      <c r="G50" s="3"/>
      <c r="H50" s="3"/>
      <c r="I50" s="3"/>
      <c r="J50" s="4" t="e">
        <f t="shared" si="0"/>
        <v>#DIV/0!</v>
      </c>
      <c r="K50" s="9"/>
      <c r="L50" s="20"/>
      <c r="M50" s="11"/>
      <c r="N50" s="12"/>
      <c r="O50" s="10"/>
      <c r="P50" s="11"/>
      <c r="Q50" s="12"/>
      <c r="R50" s="5"/>
      <c r="S50" s="1"/>
      <c r="T50" s="1"/>
      <c r="U50" s="1"/>
      <c r="V50" s="1"/>
      <c r="W50" s="1"/>
      <c r="X50" s="1"/>
    </row>
    <row r="51" spans="1:24" ht="15.75">
      <c r="A51" s="3"/>
      <c r="B51" s="3"/>
      <c r="C51" s="3"/>
      <c r="D51" s="3"/>
      <c r="E51" s="9"/>
      <c r="F51" s="3"/>
      <c r="G51" s="3"/>
      <c r="H51" s="3"/>
      <c r="I51" s="3"/>
      <c r="J51" s="4" t="e">
        <f t="shared" si="0"/>
        <v>#DIV/0!</v>
      </c>
      <c r="K51" s="9"/>
      <c r="L51" s="20"/>
      <c r="M51" s="11"/>
      <c r="N51" s="12"/>
      <c r="O51" s="10"/>
      <c r="P51" s="11"/>
      <c r="Q51" s="12"/>
      <c r="R51" s="5"/>
      <c r="S51" s="1"/>
      <c r="T51" s="1"/>
      <c r="U51" s="1"/>
      <c r="V51" s="1"/>
      <c r="W51" s="1"/>
      <c r="X51" s="1"/>
    </row>
    <row r="52" spans="1:24" ht="15.75">
      <c r="A52" s="3"/>
      <c r="B52" s="3"/>
      <c r="C52" s="3"/>
      <c r="D52" s="3"/>
      <c r="E52" s="9"/>
      <c r="F52" s="3"/>
      <c r="G52" s="3"/>
      <c r="H52" s="3"/>
      <c r="I52" s="3"/>
      <c r="J52" s="4" t="e">
        <f t="shared" si="0"/>
        <v>#DIV/0!</v>
      </c>
      <c r="K52" s="9"/>
      <c r="L52" s="20"/>
      <c r="M52" s="11"/>
      <c r="N52" s="12"/>
      <c r="O52" s="10"/>
      <c r="P52" s="11"/>
      <c r="Q52" s="12"/>
      <c r="R52" s="5"/>
      <c r="S52" s="1"/>
      <c r="T52" s="1"/>
      <c r="U52" s="1"/>
      <c r="V52" s="1"/>
      <c r="W52" s="1"/>
      <c r="X52" s="1"/>
    </row>
    <row r="53" spans="1:24" ht="15.75">
      <c r="A53" s="3"/>
      <c r="B53" s="3"/>
      <c r="C53" s="3"/>
      <c r="D53" s="3"/>
      <c r="E53" s="9"/>
      <c r="F53" s="3"/>
      <c r="G53" s="3"/>
      <c r="H53" s="3"/>
      <c r="I53" s="3"/>
      <c r="J53" s="4" t="e">
        <f t="shared" si="0"/>
        <v>#DIV/0!</v>
      </c>
      <c r="K53" s="9"/>
      <c r="L53" s="20"/>
      <c r="M53" s="11"/>
      <c r="N53" s="12"/>
      <c r="O53" s="10"/>
      <c r="P53" s="11"/>
      <c r="Q53" s="12"/>
      <c r="R53" s="5"/>
      <c r="S53" s="1"/>
      <c r="T53" s="1"/>
      <c r="U53" s="1"/>
      <c r="V53" s="1"/>
      <c r="W53" s="1"/>
      <c r="X53" s="1"/>
    </row>
    <row r="54" spans="1:24" ht="15.75">
      <c r="A54" s="3"/>
      <c r="B54" s="3"/>
      <c r="C54" s="3"/>
      <c r="D54" s="3"/>
      <c r="E54" s="9"/>
      <c r="F54" s="3"/>
      <c r="G54" s="3"/>
      <c r="H54" s="3"/>
      <c r="I54" s="3"/>
      <c r="J54" s="4" t="e">
        <f t="shared" si="0"/>
        <v>#DIV/0!</v>
      </c>
      <c r="K54" s="9"/>
      <c r="L54" s="20"/>
      <c r="M54" s="11"/>
      <c r="N54" s="12"/>
      <c r="O54" s="10"/>
      <c r="P54" s="11"/>
      <c r="Q54" s="12"/>
      <c r="R54" s="5"/>
      <c r="S54" s="1"/>
      <c r="T54" s="1"/>
      <c r="U54" s="1"/>
      <c r="V54" s="1"/>
      <c r="W54" s="1"/>
      <c r="X54" s="1"/>
    </row>
    <row r="55" spans="1:24" ht="15.75">
      <c r="A55" s="3"/>
      <c r="B55" s="3"/>
      <c r="C55" s="3"/>
      <c r="D55" s="3"/>
      <c r="E55" s="9"/>
      <c r="F55" s="3"/>
      <c r="G55" s="3"/>
      <c r="H55" s="3"/>
      <c r="I55" s="3"/>
      <c r="J55" s="4" t="e">
        <f t="shared" si="0"/>
        <v>#DIV/0!</v>
      </c>
      <c r="K55" s="9"/>
      <c r="L55" s="20"/>
      <c r="M55" s="11"/>
      <c r="N55" s="12"/>
      <c r="O55" s="10"/>
      <c r="P55" s="11"/>
      <c r="Q55" s="12"/>
      <c r="R55" s="5"/>
      <c r="S55" s="1"/>
      <c r="T55" s="1"/>
      <c r="U55" s="1"/>
      <c r="V55" s="1"/>
      <c r="W55" s="1"/>
      <c r="X55" s="1"/>
    </row>
    <row r="56" spans="1:24" ht="15.75">
      <c r="A56" s="3"/>
      <c r="B56" s="3"/>
      <c r="C56" s="3"/>
      <c r="D56" s="3"/>
      <c r="E56" s="9"/>
      <c r="F56" s="3"/>
      <c r="G56" s="3"/>
      <c r="H56" s="3"/>
      <c r="I56" s="3"/>
      <c r="J56" s="4" t="e">
        <f t="shared" si="0"/>
        <v>#DIV/0!</v>
      </c>
      <c r="K56" s="9"/>
      <c r="L56" s="20"/>
      <c r="M56" s="11"/>
      <c r="N56" s="12"/>
      <c r="O56" s="10"/>
      <c r="P56" s="11"/>
      <c r="Q56" s="12"/>
      <c r="R56" s="5"/>
      <c r="S56" s="1"/>
      <c r="T56" s="1"/>
      <c r="U56" s="1"/>
      <c r="V56" s="1"/>
      <c r="W56" s="1"/>
      <c r="X56" s="1"/>
    </row>
    <row r="57" spans="1:24" ht="15.75">
      <c r="A57" s="3"/>
      <c r="B57" s="3"/>
      <c r="C57" s="3"/>
      <c r="D57" s="3"/>
      <c r="E57" s="9"/>
      <c r="F57" s="3"/>
      <c r="G57" s="3"/>
      <c r="H57" s="3"/>
      <c r="I57" s="3"/>
      <c r="J57" s="4" t="e">
        <f t="shared" si="0"/>
        <v>#DIV/0!</v>
      </c>
      <c r="K57" s="9"/>
      <c r="L57" s="20"/>
      <c r="M57" s="11"/>
      <c r="N57" s="12"/>
      <c r="O57" s="10"/>
      <c r="P57" s="11"/>
      <c r="Q57" s="12"/>
      <c r="R57" s="5"/>
      <c r="S57" s="1"/>
      <c r="T57" s="1"/>
      <c r="U57" s="1"/>
      <c r="V57" s="1"/>
      <c r="W57" s="1"/>
      <c r="X57" s="1"/>
    </row>
    <row r="58" spans="1:24" ht="15.75">
      <c r="A58" s="3"/>
      <c r="B58" s="3"/>
      <c r="C58" s="3"/>
      <c r="D58" s="3"/>
      <c r="E58" s="9"/>
      <c r="F58" s="3"/>
      <c r="G58" s="3"/>
      <c r="H58" s="3"/>
      <c r="I58" s="3"/>
      <c r="J58" s="4" t="e">
        <f t="shared" si="0"/>
        <v>#DIV/0!</v>
      </c>
      <c r="K58" s="9"/>
      <c r="L58" s="20"/>
      <c r="M58" s="11"/>
      <c r="N58" s="12"/>
      <c r="O58" s="10"/>
      <c r="P58" s="11"/>
      <c r="Q58" s="12"/>
      <c r="R58" s="5"/>
      <c r="S58" s="1"/>
      <c r="T58" s="1"/>
      <c r="U58" s="1"/>
      <c r="V58" s="1"/>
      <c r="W58" s="1"/>
      <c r="X58" s="1"/>
    </row>
    <row r="59" spans="1:24" ht="15.75">
      <c r="A59" s="3"/>
      <c r="B59" s="3"/>
      <c r="C59" s="3"/>
      <c r="D59" s="3"/>
      <c r="E59" s="9"/>
      <c r="F59" s="3"/>
      <c r="G59" s="3"/>
      <c r="H59" s="3"/>
      <c r="I59" s="3"/>
      <c r="J59" s="4" t="e">
        <f t="shared" si="0"/>
        <v>#DIV/0!</v>
      </c>
      <c r="K59" s="9"/>
      <c r="L59" s="20"/>
      <c r="M59" s="11"/>
      <c r="N59" s="12"/>
      <c r="O59" s="10"/>
      <c r="P59" s="11"/>
      <c r="Q59" s="12"/>
      <c r="R59" s="5"/>
      <c r="S59" s="1"/>
      <c r="T59" s="1"/>
      <c r="U59" s="1"/>
      <c r="V59" s="1"/>
      <c r="W59" s="1"/>
      <c r="X59" s="1"/>
    </row>
    <row r="60" spans="1:24" ht="15.75">
      <c r="A60" s="3"/>
      <c r="B60" s="3"/>
      <c r="C60" s="3"/>
      <c r="D60" s="3"/>
      <c r="E60" s="9"/>
      <c r="F60" s="3"/>
      <c r="G60" s="3"/>
      <c r="H60" s="3"/>
      <c r="I60" s="3"/>
      <c r="J60" s="4" t="e">
        <f t="shared" si="0"/>
        <v>#DIV/0!</v>
      </c>
      <c r="K60" s="9"/>
      <c r="L60" s="20"/>
      <c r="M60" s="11"/>
      <c r="N60" s="12"/>
      <c r="O60" s="10"/>
      <c r="P60" s="11"/>
      <c r="Q60" s="12"/>
      <c r="R60" s="5"/>
      <c r="S60" s="1"/>
      <c r="T60" s="1"/>
      <c r="U60" s="1"/>
      <c r="V60" s="1"/>
      <c r="W60" s="1"/>
      <c r="X60" s="1"/>
    </row>
    <row r="61" spans="1:24" ht="15.75">
      <c r="A61" s="3"/>
      <c r="B61" s="3"/>
      <c r="C61" s="3"/>
      <c r="D61" s="3"/>
      <c r="E61" s="9"/>
      <c r="F61" s="3"/>
      <c r="G61" s="3"/>
      <c r="H61" s="3"/>
      <c r="I61" s="3"/>
      <c r="J61" s="4" t="e">
        <f t="shared" si="0"/>
        <v>#DIV/0!</v>
      </c>
      <c r="K61" s="9"/>
      <c r="L61" s="20"/>
      <c r="M61" s="11"/>
      <c r="N61" s="12"/>
      <c r="O61" s="10"/>
      <c r="P61" s="11"/>
      <c r="Q61" s="12"/>
      <c r="R61" s="5"/>
      <c r="S61" s="1"/>
      <c r="T61" s="1"/>
      <c r="U61" s="1"/>
      <c r="V61" s="1"/>
      <c r="W61" s="1"/>
      <c r="X61" s="1"/>
    </row>
    <row r="62" spans="1:24" ht="15.75">
      <c r="A62" s="3"/>
      <c r="B62" s="3"/>
      <c r="C62" s="3"/>
      <c r="D62" s="3"/>
      <c r="E62" s="9"/>
      <c r="F62" s="3"/>
      <c r="G62" s="3"/>
      <c r="H62" s="3"/>
      <c r="I62" s="3"/>
      <c r="J62" s="4" t="e">
        <f t="shared" si="0"/>
        <v>#DIV/0!</v>
      </c>
      <c r="K62" s="9"/>
      <c r="L62" s="20"/>
      <c r="M62" s="11"/>
      <c r="N62" s="12"/>
      <c r="O62" s="10"/>
      <c r="P62" s="11"/>
      <c r="Q62" s="12"/>
      <c r="R62" s="5"/>
      <c r="S62" s="1"/>
      <c r="T62" s="1"/>
      <c r="U62" s="1"/>
      <c r="V62" s="1"/>
      <c r="W62" s="1"/>
      <c r="X62" s="1"/>
    </row>
    <row r="63" spans="1:24" ht="15.75">
      <c r="A63" s="3"/>
      <c r="B63" s="3"/>
      <c r="C63" s="3"/>
      <c r="D63" s="3"/>
      <c r="E63" s="9"/>
      <c r="F63" s="3"/>
      <c r="G63" s="3"/>
      <c r="H63" s="3"/>
      <c r="I63" s="3"/>
      <c r="J63" s="4" t="e">
        <f t="shared" si="0"/>
        <v>#DIV/0!</v>
      </c>
      <c r="K63" s="9"/>
      <c r="L63" s="20"/>
      <c r="M63" s="11"/>
      <c r="N63" s="12"/>
      <c r="O63" s="10"/>
      <c r="P63" s="11"/>
      <c r="Q63" s="12"/>
      <c r="R63" s="5"/>
      <c r="S63" s="1"/>
      <c r="T63" s="1"/>
      <c r="U63" s="1"/>
      <c r="V63" s="1"/>
      <c r="W63" s="1"/>
      <c r="X63" s="1"/>
    </row>
    <row r="64" spans="1:24" ht="15.75">
      <c r="A64" s="3"/>
      <c r="B64" s="3"/>
      <c r="C64" s="3"/>
      <c r="D64" s="3"/>
      <c r="E64" s="9"/>
      <c r="F64" s="3"/>
      <c r="G64" s="3"/>
      <c r="H64" s="3"/>
      <c r="I64" s="3"/>
      <c r="J64" s="4" t="e">
        <f t="shared" si="0"/>
        <v>#DIV/0!</v>
      </c>
      <c r="K64" s="9"/>
      <c r="L64" s="20"/>
      <c r="M64" s="11"/>
      <c r="N64" s="12"/>
      <c r="O64" s="10"/>
      <c r="P64" s="11"/>
      <c r="Q64" s="12"/>
      <c r="R64" s="5"/>
      <c r="S64" s="1"/>
      <c r="T64" s="1"/>
      <c r="U64" s="1"/>
      <c r="V64" s="1"/>
      <c r="W64" s="1"/>
      <c r="X64" s="1"/>
    </row>
    <row r="65" spans="1:24" ht="15.75">
      <c r="A65" s="3"/>
      <c r="B65" s="3"/>
      <c r="C65" s="3"/>
      <c r="D65" s="3"/>
      <c r="E65" s="9"/>
      <c r="F65" s="3"/>
      <c r="G65" s="3"/>
      <c r="H65" s="3"/>
      <c r="I65" s="3"/>
      <c r="J65" s="4" t="e">
        <f t="shared" si="0"/>
        <v>#DIV/0!</v>
      </c>
      <c r="K65" s="9"/>
      <c r="L65" s="20"/>
      <c r="M65" s="11"/>
      <c r="N65" s="12"/>
      <c r="O65" s="10"/>
      <c r="P65" s="11"/>
      <c r="Q65" s="12"/>
      <c r="R65" s="5"/>
      <c r="S65" s="1"/>
      <c r="T65" s="1"/>
      <c r="U65" s="1"/>
      <c r="V65" s="1"/>
      <c r="W65" s="1"/>
      <c r="X65" s="1"/>
    </row>
    <row r="66" spans="1:24" ht="15.75">
      <c r="A66" s="3"/>
      <c r="B66" s="3"/>
      <c r="C66" s="3"/>
      <c r="D66" s="3"/>
      <c r="E66" s="9"/>
      <c r="F66" s="3"/>
      <c r="G66" s="3"/>
      <c r="H66" s="3"/>
      <c r="I66" s="3"/>
      <c r="J66" s="4" t="e">
        <f t="shared" si="0"/>
        <v>#DIV/0!</v>
      </c>
      <c r="K66" s="9"/>
      <c r="L66" s="20"/>
      <c r="M66" s="11"/>
      <c r="N66" s="12"/>
      <c r="O66" s="10"/>
      <c r="P66" s="11"/>
      <c r="Q66" s="12"/>
      <c r="R66" s="5"/>
      <c r="S66" s="1"/>
      <c r="T66" s="1"/>
      <c r="U66" s="1"/>
      <c r="V66" s="1"/>
      <c r="W66" s="1"/>
      <c r="X66" s="1"/>
    </row>
    <row r="67" spans="1:24" ht="15.75">
      <c r="A67" s="3"/>
      <c r="B67" s="3"/>
      <c r="C67" s="3"/>
      <c r="D67" s="3"/>
      <c r="E67" s="9"/>
      <c r="F67" s="3"/>
      <c r="G67" s="3"/>
      <c r="H67" s="3"/>
      <c r="I67" s="3"/>
      <c r="J67" s="4" t="e">
        <f t="shared" si="0"/>
        <v>#DIV/0!</v>
      </c>
      <c r="K67" s="9"/>
      <c r="L67" s="20"/>
      <c r="M67" s="11"/>
      <c r="N67" s="12"/>
      <c r="O67" s="10"/>
      <c r="P67" s="11"/>
      <c r="Q67" s="12"/>
      <c r="R67" s="5"/>
      <c r="S67" s="1"/>
      <c r="T67" s="1"/>
      <c r="U67" s="1"/>
      <c r="V67" s="1"/>
      <c r="W67" s="1"/>
      <c r="X67" s="1"/>
    </row>
    <row r="68" spans="1:24" ht="15.75">
      <c r="A68" s="3"/>
      <c r="B68" s="3"/>
      <c r="C68" s="3"/>
      <c r="D68" s="3"/>
      <c r="E68" s="9"/>
      <c r="F68" s="3"/>
      <c r="G68" s="3"/>
      <c r="H68" s="3"/>
      <c r="I68" s="3"/>
      <c r="J68" s="4" t="e">
        <f t="shared" si="0"/>
        <v>#DIV/0!</v>
      </c>
      <c r="K68" s="9"/>
      <c r="L68" s="20"/>
      <c r="M68" s="11"/>
      <c r="N68" s="12"/>
      <c r="O68" s="10"/>
      <c r="P68" s="11"/>
      <c r="Q68" s="12"/>
      <c r="R68" s="5"/>
    </row>
    <row r="69" spans="1:24" ht="15.75">
      <c r="A69" s="3"/>
      <c r="B69" s="3"/>
      <c r="C69" s="3"/>
      <c r="D69" s="3"/>
      <c r="E69" s="9"/>
      <c r="F69" s="3"/>
      <c r="G69" s="3"/>
      <c r="H69" s="3"/>
      <c r="I69" s="3"/>
      <c r="J69" s="4" t="e">
        <f t="shared" si="0"/>
        <v>#DIV/0!</v>
      </c>
      <c r="K69" s="9"/>
      <c r="L69" s="20"/>
      <c r="M69" s="11"/>
      <c r="N69" s="12"/>
      <c r="O69" s="10"/>
      <c r="P69" s="11"/>
      <c r="Q69" s="12"/>
      <c r="R69" s="5"/>
    </row>
    <row r="70" spans="1:24" ht="15.75">
      <c r="A70" s="3"/>
      <c r="B70" s="3"/>
      <c r="C70" s="3"/>
      <c r="D70" s="3"/>
      <c r="E70" s="9"/>
      <c r="F70" s="3"/>
      <c r="G70" s="3"/>
      <c r="H70" s="3"/>
      <c r="I70" s="3"/>
      <c r="J70" s="4" t="e">
        <f t="shared" si="0"/>
        <v>#DIV/0!</v>
      </c>
      <c r="K70" s="9"/>
      <c r="L70" s="20"/>
      <c r="M70" s="11"/>
      <c r="N70" s="12"/>
      <c r="O70" s="10"/>
      <c r="P70" s="11"/>
      <c r="Q70" s="12"/>
      <c r="R70" s="5"/>
    </row>
  </sheetData>
  <sortState xmlns:xlrd2="http://schemas.microsoft.com/office/spreadsheetml/2017/richdata2" ref="A2:R43">
    <sortCondition ref="C15:C43"/>
  </sortState>
  <pageMargins left="0.7" right="0.7" top="0.75" bottom="0.75" header="0.3" footer="0.3"/>
  <pageSetup paperSize="9" scale="43" orientation="portrait" horizontalDpi="0" verticalDpi="0"/>
  <headerFooter>
    <oddHeader>&amp;CFASTRESS, T1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B0FF-F24F-8B4B-A3F1-F707E12DCCF9}">
  <dimension ref="A1:X67"/>
  <sheetViews>
    <sheetView tabSelected="1" zoomScaleNormal="120" workbookViewId="0">
      <pane ySplit="1" topLeftCell="G25" activePane="bottomLeft" state="frozen"/>
      <selection pane="bottomLeft" activeCell="Q33" sqref="Q33"/>
    </sheetView>
  </sheetViews>
  <sheetFormatPr defaultColWidth="8.85546875" defaultRowHeight="15"/>
  <cols>
    <col min="1" max="2" width="13.85546875" style="1" customWidth="1"/>
    <col min="3" max="3" width="13.7109375" style="1" customWidth="1"/>
    <col min="4" max="5" width="14.42578125" style="1" customWidth="1"/>
    <col min="6" max="6" width="13.85546875" style="1" customWidth="1"/>
    <col min="7" max="7" width="12.85546875" style="1" customWidth="1"/>
    <col min="8" max="8" width="11.28515625" style="1" customWidth="1"/>
    <col min="9" max="9" width="11.42578125" style="1" customWidth="1"/>
    <col min="10" max="10" width="17.140625" style="1" customWidth="1"/>
    <col min="11" max="11" width="16" style="1" customWidth="1"/>
    <col min="12" max="12" width="15.140625" style="1" customWidth="1"/>
    <col min="13" max="15" width="14.7109375" style="1" customWidth="1"/>
    <col min="16" max="17" width="14.140625" style="1" customWidth="1"/>
    <col min="18" max="18" width="136.42578125" bestFit="1" customWidth="1"/>
  </cols>
  <sheetData>
    <row r="1" spans="1:18" ht="42.95" customHeight="1" thickBot="1">
      <c r="A1" s="6" t="s">
        <v>0</v>
      </c>
      <c r="B1" s="1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8" t="s">
        <v>12</v>
      </c>
      <c r="N1" s="19" t="s">
        <v>13</v>
      </c>
      <c r="O1" s="7" t="s">
        <v>14</v>
      </c>
      <c r="P1" s="18" t="s">
        <v>15</v>
      </c>
      <c r="Q1" s="19" t="s">
        <v>16</v>
      </c>
      <c r="R1" s="8" t="s">
        <v>17</v>
      </c>
    </row>
    <row r="2" spans="1:18" ht="15.95">
      <c r="A2" s="3" t="s">
        <v>86</v>
      </c>
      <c r="B2" s="1" t="s">
        <v>19</v>
      </c>
      <c r="C2" s="3">
        <v>24</v>
      </c>
      <c r="D2" s="3" t="s">
        <v>26</v>
      </c>
      <c r="E2" s="9"/>
      <c r="F2" s="3">
        <v>90.5</v>
      </c>
      <c r="G2" s="3">
        <v>106.2</v>
      </c>
      <c r="H2" s="3">
        <v>191</v>
      </c>
      <c r="I2" s="3">
        <v>90.2</v>
      </c>
      <c r="J2" s="4">
        <f t="shared" ref="J2:J43" si="0">I2/(H2/100)^2</f>
        <v>24.725199418875579</v>
      </c>
      <c r="K2" s="9">
        <v>46034</v>
      </c>
      <c r="L2" s="10">
        <v>0.49861111111111112</v>
      </c>
      <c r="M2" s="16" t="s">
        <v>97</v>
      </c>
      <c r="N2" s="17" t="s">
        <v>24</v>
      </c>
      <c r="O2" s="10">
        <v>0.58194444444444449</v>
      </c>
      <c r="P2" s="16" t="s">
        <v>64</v>
      </c>
      <c r="Q2" s="17" t="s">
        <v>29</v>
      </c>
      <c r="R2" s="5"/>
    </row>
    <row r="3" spans="1:18" ht="15.95">
      <c r="A3" s="3" t="s">
        <v>63</v>
      </c>
      <c r="B3" s="3" t="s">
        <v>38</v>
      </c>
      <c r="C3" s="3">
        <v>21</v>
      </c>
      <c r="D3" s="3" t="s">
        <v>20</v>
      </c>
      <c r="E3" s="9">
        <v>46024</v>
      </c>
      <c r="F3" s="3">
        <v>64.7</v>
      </c>
      <c r="G3" s="3">
        <v>88.3</v>
      </c>
      <c r="H3" s="3">
        <v>171.3</v>
      </c>
      <c r="I3" s="3">
        <v>57.6</v>
      </c>
      <c r="J3" s="4">
        <f t="shared" si="0"/>
        <v>19.629433108106035</v>
      </c>
      <c r="K3" s="9">
        <v>46034</v>
      </c>
      <c r="L3" s="10">
        <v>0.56666666666666665</v>
      </c>
      <c r="M3" s="11">
        <v>4.0999999999999996</v>
      </c>
      <c r="N3" s="12">
        <v>1.1000000000000001</v>
      </c>
      <c r="O3" s="10">
        <v>0.64930555555555558</v>
      </c>
      <c r="P3" s="11">
        <v>3.8</v>
      </c>
      <c r="Q3" s="12">
        <v>1.3</v>
      </c>
      <c r="R3" s="5"/>
    </row>
    <row r="4" spans="1:18" ht="15.95">
      <c r="A4" s="3" t="s">
        <v>25</v>
      </c>
      <c r="B4" s="3" t="s">
        <v>38</v>
      </c>
      <c r="C4" s="3">
        <v>19</v>
      </c>
      <c r="D4" s="3" t="s">
        <v>26</v>
      </c>
      <c r="E4" s="3"/>
      <c r="F4" s="3">
        <v>74.599999999999994</v>
      </c>
      <c r="G4" s="3">
        <v>92.9</v>
      </c>
      <c r="H4" s="3">
        <v>184.5</v>
      </c>
      <c r="I4" s="3">
        <v>64.900000000000006</v>
      </c>
      <c r="J4" s="4">
        <f t="shared" si="0"/>
        <v>19.065664911391664</v>
      </c>
      <c r="K4" s="9">
        <v>46035</v>
      </c>
      <c r="L4" s="10">
        <v>0.57222222222222219</v>
      </c>
      <c r="M4" s="16">
        <v>4.4000000000000004</v>
      </c>
      <c r="N4" s="17">
        <v>0.1</v>
      </c>
      <c r="O4" s="10">
        <v>0.65625</v>
      </c>
      <c r="P4" s="16">
        <v>4.5</v>
      </c>
      <c r="Q4" s="17">
        <v>0.1</v>
      </c>
      <c r="R4" s="5"/>
    </row>
    <row r="5" spans="1:18" ht="15.95">
      <c r="A5" s="3" t="s">
        <v>45</v>
      </c>
      <c r="B5" s="3" t="s">
        <v>38</v>
      </c>
      <c r="C5" s="3">
        <v>20</v>
      </c>
      <c r="D5" s="3" t="s">
        <v>20</v>
      </c>
      <c r="E5" s="9" t="s">
        <v>98</v>
      </c>
      <c r="F5" s="3">
        <v>64.3</v>
      </c>
      <c r="G5" s="3">
        <v>90.9</v>
      </c>
      <c r="H5" s="3">
        <v>169.5</v>
      </c>
      <c r="I5" s="3">
        <v>50.9</v>
      </c>
      <c r="J5" s="4">
        <f t="shared" si="0"/>
        <v>17.716518303878313</v>
      </c>
      <c r="K5" s="9" t="s">
        <v>98</v>
      </c>
      <c r="L5" s="10">
        <v>0.56666666666666665</v>
      </c>
      <c r="M5" s="11">
        <v>5.7</v>
      </c>
      <c r="N5" s="12">
        <v>0.2</v>
      </c>
      <c r="O5" s="10">
        <v>0.68194444444444446</v>
      </c>
      <c r="P5" s="11">
        <v>4.8</v>
      </c>
      <c r="Q5" s="12">
        <v>0.4</v>
      </c>
      <c r="R5" s="5"/>
    </row>
    <row r="6" spans="1:18" ht="15.95">
      <c r="A6" s="3" t="s">
        <v>31</v>
      </c>
      <c r="B6" s="3" t="s">
        <v>38</v>
      </c>
      <c r="C6" s="3">
        <v>20</v>
      </c>
      <c r="D6" s="3" t="s">
        <v>20</v>
      </c>
      <c r="E6" s="9" t="s">
        <v>99</v>
      </c>
      <c r="F6" s="3">
        <v>76.599999999999994</v>
      </c>
      <c r="G6" s="3">
        <v>94.4</v>
      </c>
      <c r="H6" s="3">
        <v>165.5</v>
      </c>
      <c r="I6" s="3">
        <v>53.4</v>
      </c>
      <c r="J6" s="4">
        <f t="shared" si="0"/>
        <v>19.495988536066665</v>
      </c>
      <c r="K6" s="9" t="s">
        <v>100</v>
      </c>
      <c r="L6" s="10">
        <v>0.48333333333333334</v>
      </c>
      <c r="M6" s="16">
        <v>4.4000000000000004</v>
      </c>
      <c r="N6" s="17">
        <v>0.6</v>
      </c>
      <c r="O6" s="10">
        <v>0.58402777777777781</v>
      </c>
      <c r="P6" s="16">
        <v>4.8</v>
      </c>
      <c r="Q6" s="17">
        <v>0.8</v>
      </c>
      <c r="R6" s="5"/>
    </row>
    <row r="7" spans="1:18" ht="15.95">
      <c r="A7" s="3" t="s">
        <v>46</v>
      </c>
      <c r="B7" s="3" t="s">
        <v>19</v>
      </c>
      <c r="C7" s="3">
        <v>20</v>
      </c>
      <c r="D7" s="3" t="s">
        <v>20</v>
      </c>
      <c r="E7" s="9" t="s">
        <v>101</v>
      </c>
      <c r="F7" s="3">
        <v>73.3</v>
      </c>
      <c r="G7" s="3">
        <v>96.1</v>
      </c>
      <c r="H7" s="3">
        <v>166</v>
      </c>
      <c r="I7" s="3">
        <v>63.9</v>
      </c>
      <c r="J7" s="4">
        <f t="shared" si="0"/>
        <v>23.189142110611119</v>
      </c>
      <c r="K7" s="9" t="s">
        <v>100</v>
      </c>
      <c r="L7" s="10">
        <v>0.59791666666666665</v>
      </c>
      <c r="M7" s="16">
        <v>5.5</v>
      </c>
      <c r="N7" s="17">
        <v>0.3</v>
      </c>
      <c r="O7" s="10">
        <v>0.67847222222222225</v>
      </c>
      <c r="P7" s="16">
        <v>4.8</v>
      </c>
      <c r="Q7" s="17">
        <v>0.5</v>
      </c>
      <c r="R7" s="5"/>
    </row>
    <row r="8" spans="1:18" ht="15.95">
      <c r="A8" s="3" t="s">
        <v>93</v>
      </c>
      <c r="B8" s="3" t="s">
        <v>19</v>
      </c>
      <c r="C8" s="3">
        <v>29</v>
      </c>
      <c r="D8" s="3" t="s">
        <v>26</v>
      </c>
      <c r="E8" s="3"/>
      <c r="F8" s="3">
        <v>73.7</v>
      </c>
      <c r="G8" s="3">
        <v>93</v>
      </c>
      <c r="H8" s="3">
        <v>163.5</v>
      </c>
      <c r="I8" s="3">
        <v>55.7</v>
      </c>
      <c r="J8" s="4">
        <f t="shared" si="0"/>
        <v>20.836255833309956</v>
      </c>
      <c r="K8" s="9" t="s">
        <v>90</v>
      </c>
      <c r="L8" s="10">
        <v>0.50069444444444444</v>
      </c>
      <c r="M8" s="11">
        <v>6.5</v>
      </c>
      <c r="N8" s="12">
        <v>0.3</v>
      </c>
      <c r="O8" s="10">
        <v>0.59583333333333333</v>
      </c>
      <c r="P8" s="11">
        <v>5.2</v>
      </c>
      <c r="Q8" s="12">
        <v>0.4</v>
      </c>
      <c r="R8" s="5"/>
    </row>
    <row r="9" spans="1:18" ht="15.95">
      <c r="A9" s="3" t="s">
        <v>68</v>
      </c>
      <c r="B9" s="3" t="s">
        <v>19</v>
      </c>
      <c r="C9" s="3">
        <v>21</v>
      </c>
      <c r="D9" s="3" t="s">
        <v>20</v>
      </c>
      <c r="E9" s="3" t="s">
        <v>102</v>
      </c>
      <c r="F9" s="3">
        <v>75.5</v>
      </c>
      <c r="G9" s="3">
        <v>98.1</v>
      </c>
      <c r="H9" s="3">
        <v>157</v>
      </c>
      <c r="I9" s="3">
        <v>62.3</v>
      </c>
      <c r="J9" s="4">
        <f t="shared" si="0"/>
        <v>25.274859020649924</v>
      </c>
      <c r="K9" s="9" t="s">
        <v>103</v>
      </c>
      <c r="L9" s="10">
        <v>0.49027777777777776</v>
      </c>
      <c r="M9" s="11">
        <v>6.1</v>
      </c>
      <c r="N9" s="12">
        <v>0.2</v>
      </c>
      <c r="O9" s="10">
        <v>0.57777777777777772</v>
      </c>
      <c r="P9" s="11">
        <v>5.0999999999999996</v>
      </c>
      <c r="Q9" s="12">
        <v>0.3</v>
      </c>
      <c r="R9" s="5"/>
    </row>
    <row r="10" spans="1:18" ht="15.95">
      <c r="A10" s="3" t="s">
        <v>80</v>
      </c>
      <c r="B10" s="3" t="s">
        <v>38</v>
      </c>
      <c r="C10" s="3">
        <v>22</v>
      </c>
      <c r="D10" s="3" t="s">
        <v>26</v>
      </c>
      <c r="E10" s="3"/>
      <c r="F10" s="3">
        <v>76.900000000000006</v>
      </c>
      <c r="G10" s="3">
        <v>96.1</v>
      </c>
      <c r="H10" s="3">
        <v>173</v>
      </c>
      <c r="I10" s="3">
        <v>68.8</v>
      </c>
      <c r="J10" s="4">
        <f t="shared" si="0"/>
        <v>22.987737645761634</v>
      </c>
      <c r="K10" s="9">
        <v>46070</v>
      </c>
      <c r="L10" s="10">
        <v>0.56388888888888888</v>
      </c>
      <c r="M10" s="11">
        <v>5.6</v>
      </c>
      <c r="N10" s="12">
        <v>0.2</v>
      </c>
      <c r="O10" s="10">
        <v>0.66249999999999998</v>
      </c>
      <c r="P10" s="11">
        <v>4.7</v>
      </c>
      <c r="Q10" s="12">
        <v>0.2</v>
      </c>
      <c r="R10" s="5"/>
    </row>
    <row r="11" spans="1:18" ht="15.95">
      <c r="A11" s="3" t="s">
        <v>52</v>
      </c>
      <c r="B11" s="3" t="s">
        <v>38</v>
      </c>
      <c r="C11" s="3">
        <v>20</v>
      </c>
      <c r="D11" s="3" t="s">
        <v>20</v>
      </c>
      <c r="E11" s="3" t="s">
        <v>39</v>
      </c>
      <c r="F11" s="3">
        <v>78.5</v>
      </c>
      <c r="G11" s="3">
        <v>106.2</v>
      </c>
      <c r="H11" s="3">
        <v>157.4</v>
      </c>
      <c r="I11" s="3">
        <v>69.3</v>
      </c>
      <c r="J11" s="4">
        <f t="shared" si="0"/>
        <v>27.972016681493582</v>
      </c>
      <c r="K11" s="9" t="s">
        <v>104</v>
      </c>
      <c r="L11" s="10">
        <v>0.56527777777777777</v>
      </c>
      <c r="M11" s="11">
        <v>4</v>
      </c>
      <c r="N11" s="12">
        <v>0.6</v>
      </c>
      <c r="O11" s="10">
        <v>0.66180555555555554</v>
      </c>
      <c r="P11" s="11">
        <v>3.7</v>
      </c>
      <c r="Q11" s="12">
        <v>0.8</v>
      </c>
      <c r="R11" s="5"/>
    </row>
    <row r="12" spans="1:18" ht="15.95">
      <c r="A12" s="3" t="s">
        <v>81</v>
      </c>
      <c r="B12" s="3" t="s">
        <v>19</v>
      </c>
      <c r="C12" s="3">
        <v>22</v>
      </c>
      <c r="D12" s="3" t="s">
        <v>20</v>
      </c>
      <c r="E12" s="3" t="s">
        <v>40</v>
      </c>
      <c r="F12" s="3">
        <v>77.400000000000006</v>
      </c>
      <c r="G12" s="3">
        <v>106.4</v>
      </c>
      <c r="H12" s="3">
        <v>160.5</v>
      </c>
      <c r="I12" s="3">
        <v>66</v>
      </c>
      <c r="J12" s="4">
        <f t="shared" si="0"/>
        <v>25.620869362680875</v>
      </c>
      <c r="K12" s="3" t="s">
        <v>40</v>
      </c>
      <c r="L12" s="10">
        <v>0.49583333333333335</v>
      </c>
      <c r="M12" s="11">
        <v>5.4</v>
      </c>
      <c r="N12" s="12">
        <v>0.3</v>
      </c>
      <c r="O12" s="10">
        <v>0.57222222222222219</v>
      </c>
      <c r="P12" s="11">
        <v>4.8</v>
      </c>
      <c r="Q12" s="12">
        <v>0.2</v>
      </c>
      <c r="R12" s="5"/>
    </row>
    <row r="13" spans="1:18" ht="15.95">
      <c r="A13" s="3" t="s">
        <v>82</v>
      </c>
      <c r="B13" s="3" t="s">
        <v>19</v>
      </c>
      <c r="C13" s="3">
        <v>22</v>
      </c>
      <c r="D13" s="3" t="s">
        <v>20</v>
      </c>
      <c r="E13" s="3" t="s">
        <v>35</v>
      </c>
      <c r="F13" s="3">
        <v>69.2</v>
      </c>
      <c r="G13" s="3">
        <v>88.7</v>
      </c>
      <c r="H13" s="3">
        <v>161</v>
      </c>
      <c r="I13" s="3">
        <v>49.9</v>
      </c>
      <c r="J13" s="4">
        <f t="shared" si="0"/>
        <v>19.25080050923961</v>
      </c>
      <c r="K13" s="9" t="s">
        <v>70</v>
      </c>
      <c r="L13" s="10">
        <v>0.49375000000000002</v>
      </c>
      <c r="M13" s="11">
        <v>5.3</v>
      </c>
      <c r="N13" s="12" t="s">
        <v>105</v>
      </c>
      <c r="O13" s="10">
        <v>0.59444444444444444</v>
      </c>
      <c r="P13" s="11">
        <v>5</v>
      </c>
      <c r="Q13" s="12">
        <v>0.3</v>
      </c>
      <c r="R13" s="5" t="s">
        <v>106</v>
      </c>
    </row>
    <row r="14" spans="1:18" ht="15.95">
      <c r="A14" s="3" t="s">
        <v>55</v>
      </c>
      <c r="B14" s="3" t="s">
        <v>19</v>
      </c>
      <c r="C14" s="3">
        <v>20</v>
      </c>
      <c r="D14" s="3" t="s">
        <v>20</v>
      </c>
      <c r="E14" s="3" t="s">
        <v>107</v>
      </c>
      <c r="F14" s="3">
        <v>76.7</v>
      </c>
      <c r="G14" s="3">
        <v>101</v>
      </c>
      <c r="H14" s="3">
        <v>174</v>
      </c>
      <c r="I14" s="3">
        <v>64.900000000000006</v>
      </c>
      <c r="J14" s="4">
        <f t="shared" si="0"/>
        <v>21.436121019949798</v>
      </c>
      <c r="K14" s="9" t="s">
        <v>108</v>
      </c>
      <c r="L14" s="10">
        <v>0.4861111111111111</v>
      </c>
      <c r="M14" s="11">
        <v>4.4000000000000004</v>
      </c>
      <c r="N14" s="12">
        <v>0.2</v>
      </c>
      <c r="O14" s="10">
        <v>0.58680555555555558</v>
      </c>
      <c r="P14" s="11">
        <v>3.9</v>
      </c>
      <c r="Q14" s="12">
        <v>0.3</v>
      </c>
      <c r="R14" s="5"/>
    </row>
    <row r="15" spans="1:18" ht="15.95">
      <c r="A15" s="3" t="s">
        <v>18</v>
      </c>
      <c r="B15" s="3" t="s">
        <v>38</v>
      </c>
      <c r="C15" s="3">
        <v>18</v>
      </c>
      <c r="D15" s="3" t="s">
        <v>20</v>
      </c>
      <c r="E15" s="3" t="s">
        <v>107</v>
      </c>
      <c r="F15" s="3">
        <v>69.2</v>
      </c>
      <c r="G15" s="3">
        <v>99.8</v>
      </c>
      <c r="H15" s="3">
        <v>165</v>
      </c>
      <c r="I15" s="3">
        <v>59.8</v>
      </c>
      <c r="J15" s="4">
        <f t="shared" si="0"/>
        <v>21.96510560146924</v>
      </c>
      <c r="K15" s="9" t="s">
        <v>108</v>
      </c>
      <c r="L15" s="10">
        <v>0.56805555555555554</v>
      </c>
      <c r="M15" s="11">
        <v>4.4000000000000004</v>
      </c>
      <c r="N15" s="12">
        <v>0.4</v>
      </c>
      <c r="O15" s="10">
        <v>0.65972222222222221</v>
      </c>
      <c r="P15" s="11">
        <v>4.3</v>
      </c>
      <c r="Q15" s="12" t="s">
        <v>109</v>
      </c>
      <c r="R15" s="5"/>
    </row>
    <row r="16" spans="1:18" ht="15.95">
      <c r="A16" s="3" t="s">
        <v>34</v>
      </c>
      <c r="B16" s="3" t="s">
        <v>38</v>
      </c>
      <c r="C16" s="3">
        <v>19</v>
      </c>
      <c r="D16" s="3" t="s">
        <v>20</v>
      </c>
      <c r="E16" s="3" t="s">
        <v>59</v>
      </c>
      <c r="F16" s="3">
        <v>64.599999999999994</v>
      </c>
      <c r="G16" s="3">
        <v>95.4</v>
      </c>
      <c r="H16" s="3">
        <v>169</v>
      </c>
      <c r="I16" s="3">
        <v>52.2</v>
      </c>
      <c r="J16" s="4">
        <f t="shared" si="0"/>
        <v>18.276670984909494</v>
      </c>
      <c r="K16" s="9">
        <v>46086</v>
      </c>
      <c r="L16" s="10">
        <v>0.49791666666666667</v>
      </c>
      <c r="M16" s="11">
        <v>5.0999999999999996</v>
      </c>
      <c r="N16" s="12">
        <v>0.2</v>
      </c>
      <c r="O16" s="10">
        <v>0.58750000000000002</v>
      </c>
      <c r="P16" s="11">
        <v>5.3</v>
      </c>
      <c r="Q16" s="12">
        <v>0.3</v>
      </c>
      <c r="R16" s="5"/>
    </row>
    <row r="17" spans="1:18" ht="15.95">
      <c r="A17" s="3" t="s">
        <v>92</v>
      </c>
      <c r="B17" s="3" t="s">
        <v>19</v>
      </c>
      <c r="C17" s="3">
        <v>27</v>
      </c>
      <c r="D17" s="3" t="s">
        <v>26</v>
      </c>
      <c r="E17" s="3" t="s">
        <v>44</v>
      </c>
      <c r="F17" s="3">
        <v>73</v>
      </c>
      <c r="G17" s="3">
        <v>94.6</v>
      </c>
      <c r="H17" s="3">
        <v>183</v>
      </c>
      <c r="I17" s="3">
        <v>63.2</v>
      </c>
      <c r="J17" s="4">
        <f t="shared" si="0"/>
        <v>18.871868374690195</v>
      </c>
      <c r="K17" s="9">
        <v>46087</v>
      </c>
      <c r="L17" s="10">
        <v>0.57291666666666663</v>
      </c>
      <c r="M17" s="11">
        <v>7.9</v>
      </c>
      <c r="N17" s="12">
        <v>0.1</v>
      </c>
      <c r="O17" s="10">
        <v>0.67222222222222228</v>
      </c>
      <c r="P17" s="11">
        <v>5.2</v>
      </c>
      <c r="Q17" s="12">
        <v>0.1</v>
      </c>
      <c r="R17" s="5"/>
    </row>
    <row r="18" spans="1:18" ht="15.95">
      <c r="A18" s="3" t="s">
        <v>67</v>
      </c>
      <c r="B18" s="3" t="s">
        <v>19</v>
      </c>
      <c r="C18" s="3">
        <v>21</v>
      </c>
      <c r="D18" s="3" t="s">
        <v>20</v>
      </c>
      <c r="E18" s="3" t="s">
        <v>110</v>
      </c>
      <c r="F18" s="3">
        <v>69.3</v>
      </c>
      <c r="G18" s="3">
        <v>92</v>
      </c>
      <c r="H18" s="3">
        <v>154.5</v>
      </c>
      <c r="I18" s="3">
        <v>46.6</v>
      </c>
      <c r="J18" s="4">
        <f t="shared" si="0"/>
        <v>19.522208606947981</v>
      </c>
      <c r="K18" s="9">
        <v>46091</v>
      </c>
      <c r="L18" s="10">
        <v>0.57847222222222228</v>
      </c>
      <c r="M18" s="11">
        <v>4</v>
      </c>
      <c r="N18" s="12">
        <v>0.2</v>
      </c>
      <c r="O18" s="10">
        <v>0.6645833333333333</v>
      </c>
      <c r="P18" s="11">
        <v>4.0999999999999996</v>
      </c>
      <c r="Q18" s="12">
        <v>0.3</v>
      </c>
      <c r="R18" s="5"/>
    </row>
    <row r="19" spans="1:18" ht="15.95">
      <c r="A19" s="3" t="s">
        <v>36</v>
      </c>
      <c r="B19" s="3" t="s">
        <v>38</v>
      </c>
      <c r="C19" s="3">
        <v>19</v>
      </c>
      <c r="D19" s="3" t="s">
        <v>20</v>
      </c>
      <c r="E19" s="3" t="s">
        <v>111</v>
      </c>
      <c r="F19" s="3">
        <v>68.7</v>
      </c>
      <c r="G19" s="3">
        <v>104.7</v>
      </c>
      <c r="H19" s="3">
        <v>172.5</v>
      </c>
      <c r="I19" s="3">
        <v>66.099999999999994</v>
      </c>
      <c r="J19" s="4">
        <f t="shared" si="0"/>
        <v>22.21382062591892</v>
      </c>
      <c r="K19" s="9">
        <v>46098</v>
      </c>
      <c r="L19" s="10">
        <v>0.48958333333333331</v>
      </c>
      <c r="M19" s="11">
        <v>4.9000000000000004</v>
      </c>
      <c r="N19" s="12">
        <v>0.3</v>
      </c>
      <c r="O19" s="10">
        <v>0.58194444444444449</v>
      </c>
      <c r="P19" s="11">
        <v>5.2</v>
      </c>
      <c r="Q19" s="12">
        <v>0.4</v>
      </c>
      <c r="R19" s="5"/>
    </row>
    <row r="20" spans="1:18" ht="15.95">
      <c r="A20" s="3" t="s">
        <v>37</v>
      </c>
      <c r="B20" s="3" t="s">
        <v>19</v>
      </c>
      <c r="C20" s="3">
        <v>19</v>
      </c>
      <c r="D20" s="3" t="s">
        <v>20</v>
      </c>
      <c r="E20" s="3" t="s">
        <v>112</v>
      </c>
      <c r="F20" s="3">
        <v>70.599999999999994</v>
      </c>
      <c r="G20" s="3">
        <v>101.4</v>
      </c>
      <c r="H20" s="3">
        <v>175</v>
      </c>
      <c r="I20" s="3">
        <v>62.1</v>
      </c>
      <c r="J20" s="4">
        <f t="shared" si="0"/>
        <v>20.277551020408165</v>
      </c>
      <c r="K20" s="9" t="s">
        <v>113</v>
      </c>
      <c r="L20" s="10">
        <v>0.55208333333333337</v>
      </c>
      <c r="M20" s="11">
        <v>4.5999999999999996</v>
      </c>
      <c r="N20" s="12">
        <v>0.1</v>
      </c>
      <c r="O20" s="10">
        <v>0.64166666666666672</v>
      </c>
      <c r="P20" s="11">
        <v>4.3</v>
      </c>
      <c r="Q20" s="12">
        <v>0.1</v>
      </c>
      <c r="R20" s="5"/>
    </row>
    <row r="21" spans="1:18" ht="15.95">
      <c r="A21" s="3" t="s">
        <v>69</v>
      </c>
      <c r="B21" s="3" t="s">
        <v>38</v>
      </c>
      <c r="C21" s="3">
        <v>21</v>
      </c>
      <c r="D21" s="3" t="s">
        <v>26</v>
      </c>
      <c r="E21" s="3" t="s">
        <v>44</v>
      </c>
      <c r="F21" s="3">
        <v>83.6</v>
      </c>
      <c r="G21" s="3">
        <v>103.2</v>
      </c>
      <c r="H21" s="3">
        <v>184</v>
      </c>
      <c r="I21" s="3">
        <v>82.7</v>
      </c>
      <c r="J21" s="4">
        <f t="shared" si="0"/>
        <v>24.426984877126653</v>
      </c>
      <c r="K21" s="9">
        <v>46105</v>
      </c>
      <c r="L21" s="10">
        <v>0.49583333333333335</v>
      </c>
      <c r="M21" s="11">
        <v>5.4</v>
      </c>
      <c r="N21" s="12">
        <v>0.2</v>
      </c>
      <c r="O21" s="10">
        <v>0.58333333333333337</v>
      </c>
      <c r="P21" s="11">
        <v>3.7</v>
      </c>
      <c r="Q21" s="12">
        <v>0.1</v>
      </c>
      <c r="R21" s="5"/>
    </row>
    <row r="22" spans="1:18" ht="15.95">
      <c r="A22" s="3" t="s">
        <v>94</v>
      </c>
      <c r="B22" s="3" t="s">
        <v>19</v>
      </c>
      <c r="C22" s="3">
        <v>29</v>
      </c>
      <c r="D22" s="3" t="s">
        <v>26</v>
      </c>
      <c r="E22" s="3" t="s">
        <v>44</v>
      </c>
      <c r="F22" s="3">
        <v>94.2</v>
      </c>
      <c r="G22" s="3">
        <v>105.5</v>
      </c>
      <c r="H22" s="3">
        <v>184.5</v>
      </c>
      <c r="I22" s="3">
        <v>85.9</v>
      </c>
      <c r="J22" s="4">
        <f t="shared" si="0"/>
        <v>25.234832294122402</v>
      </c>
      <c r="K22" s="21" t="s">
        <v>114</v>
      </c>
      <c r="L22" s="10">
        <v>0.49791666666666667</v>
      </c>
      <c r="M22" s="11">
        <v>5.6</v>
      </c>
      <c r="N22" s="12">
        <v>0.2</v>
      </c>
      <c r="O22" s="10">
        <v>0.57847222222222228</v>
      </c>
      <c r="P22" s="11">
        <v>4.8</v>
      </c>
      <c r="Q22" s="12">
        <v>0.5</v>
      </c>
      <c r="R22" s="5"/>
    </row>
    <row r="23" spans="1:18" ht="15.95">
      <c r="A23" s="3" t="s">
        <v>57</v>
      </c>
      <c r="B23" s="3" t="s">
        <v>19</v>
      </c>
      <c r="C23" s="3">
        <v>20</v>
      </c>
      <c r="D23" s="3" t="s">
        <v>26</v>
      </c>
      <c r="E23" s="3" t="s">
        <v>44</v>
      </c>
      <c r="F23" s="3">
        <v>72</v>
      </c>
      <c r="G23" s="3">
        <v>95</v>
      </c>
      <c r="H23" s="3">
        <v>167</v>
      </c>
      <c r="I23" s="3">
        <v>62</v>
      </c>
      <c r="J23" s="4">
        <f t="shared" si="0"/>
        <v>22.230987127541326</v>
      </c>
      <c r="K23" s="9">
        <v>46112</v>
      </c>
      <c r="L23" s="10">
        <v>0.49583333333333335</v>
      </c>
      <c r="M23" s="11">
        <v>5.8</v>
      </c>
      <c r="N23" s="12">
        <v>0.1</v>
      </c>
      <c r="O23" s="10">
        <v>0.57499999999999996</v>
      </c>
      <c r="P23" s="11">
        <v>4.3</v>
      </c>
      <c r="Q23" s="12">
        <v>0</v>
      </c>
      <c r="R23" s="5"/>
    </row>
    <row r="24" spans="1:18" ht="15.95">
      <c r="A24" s="3" t="s">
        <v>58</v>
      </c>
      <c r="B24" s="3" t="s">
        <v>19</v>
      </c>
      <c r="C24" s="3">
        <v>20</v>
      </c>
      <c r="D24" s="3" t="s">
        <v>20</v>
      </c>
      <c r="E24" s="3" t="s">
        <v>115</v>
      </c>
      <c r="F24" s="3">
        <v>73</v>
      </c>
      <c r="G24" s="3">
        <v>106</v>
      </c>
      <c r="H24" s="3">
        <v>169</v>
      </c>
      <c r="I24" s="3">
        <v>64</v>
      </c>
      <c r="J24" s="4">
        <f t="shared" si="0"/>
        <v>22.408178985329648</v>
      </c>
      <c r="K24" s="9">
        <v>46112</v>
      </c>
      <c r="L24" s="10">
        <v>0.56597222222222221</v>
      </c>
      <c r="M24" s="11">
        <v>7.3</v>
      </c>
      <c r="N24" s="12">
        <v>0.3</v>
      </c>
      <c r="O24" s="10">
        <v>0.64930555555555558</v>
      </c>
      <c r="P24" s="11">
        <v>4.8</v>
      </c>
      <c r="Q24" s="12">
        <v>0.5</v>
      </c>
      <c r="R24" s="5"/>
    </row>
    <row r="25" spans="1:18" ht="15.95">
      <c r="A25" s="3" t="s">
        <v>72</v>
      </c>
      <c r="B25" s="3" t="s">
        <v>19</v>
      </c>
      <c r="C25" s="3">
        <v>21</v>
      </c>
      <c r="D25" s="3" t="s">
        <v>26</v>
      </c>
      <c r="E25" s="3" t="s">
        <v>27</v>
      </c>
      <c r="F25" s="3">
        <v>77</v>
      </c>
      <c r="G25" s="3">
        <v>106</v>
      </c>
      <c r="H25" s="3">
        <v>191</v>
      </c>
      <c r="I25" s="3">
        <v>80.900000000000006</v>
      </c>
      <c r="J25" s="4">
        <f t="shared" si="0"/>
        <v>22.175927194978211</v>
      </c>
      <c r="K25" s="9" t="s">
        <v>116</v>
      </c>
      <c r="L25" s="10">
        <v>0.57361111111111107</v>
      </c>
      <c r="M25" s="11">
        <v>4.9000000000000004</v>
      </c>
      <c r="N25" s="12">
        <v>0.3</v>
      </c>
      <c r="O25" s="10">
        <v>0.65</v>
      </c>
      <c r="P25" s="11">
        <v>4.2</v>
      </c>
      <c r="Q25" s="12">
        <v>0.2</v>
      </c>
      <c r="R25" s="5"/>
    </row>
    <row r="26" spans="1:18" ht="15.95">
      <c r="A26" s="3" t="s">
        <v>73</v>
      </c>
      <c r="B26" s="3" t="s">
        <v>19</v>
      </c>
      <c r="C26" s="3">
        <v>21</v>
      </c>
      <c r="D26" s="3" t="s">
        <v>20</v>
      </c>
      <c r="E26" s="9">
        <v>46083</v>
      </c>
      <c r="F26" s="3">
        <v>74.5</v>
      </c>
      <c r="G26" s="3">
        <v>100</v>
      </c>
      <c r="H26" s="3">
        <v>170.5</v>
      </c>
      <c r="I26" s="3">
        <v>64</v>
      </c>
      <c r="J26" s="4">
        <f t="shared" si="0"/>
        <v>22.015634540466625</v>
      </c>
      <c r="K26" s="9">
        <v>46121</v>
      </c>
      <c r="L26" s="10">
        <v>0.57430555555555551</v>
      </c>
      <c r="M26" s="11">
        <v>7.7</v>
      </c>
      <c r="N26" s="12">
        <v>0</v>
      </c>
      <c r="O26" s="10">
        <v>0.70138888888888884</v>
      </c>
      <c r="P26" s="11">
        <v>4.3</v>
      </c>
      <c r="Q26" s="12">
        <v>0.1</v>
      </c>
      <c r="R26" s="5"/>
    </row>
    <row r="27" spans="1:18" ht="15.95">
      <c r="A27" s="3" t="s">
        <v>75</v>
      </c>
      <c r="B27" s="3" t="s">
        <v>19</v>
      </c>
      <c r="C27" s="3">
        <v>21</v>
      </c>
      <c r="D27" s="3" t="s">
        <v>26</v>
      </c>
      <c r="E27" s="3" t="s">
        <v>27</v>
      </c>
      <c r="F27" s="3">
        <v>84.1</v>
      </c>
      <c r="G27" s="3">
        <v>109.2</v>
      </c>
      <c r="H27" s="3">
        <v>189</v>
      </c>
      <c r="I27" s="3">
        <v>88.1</v>
      </c>
      <c r="J27" s="4">
        <f t="shared" si="0"/>
        <v>24.663363287701912</v>
      </c>
      <c r="K27" s="9">
        <v>46125</v>
      </c>
      <c r="L27" s="10">
        <v>0.50277777777777777</v>
      </c>
      <c r="M27" s="11">
        <v>6.6</v>
      </c>
      <c r="N27" s="12">
        <v>0.1</v>
      </c>
      <c r="O27" s="10">
        <v>0.59236111111111112</v>
      </c>
      <c r="P27" s="11">
        <v>5.0999999999999996</v>
      </c>
      <c r="Q27" s="12">
        <v>0</v>
      </c>
      <c r="R27" s="5"/>
    </row>
    <row r="28" spans="1:18" ht="15.95">
      <c r="A28" s="3" t="s">
        <v>77</v>
      </c>
      <c r="B28" s="3" t="s">
        <v>38</v>
      </c>
      <c r="C28" s="3">
        <v>22</v>
      </c>
      <c r="D28" s="3" t="s">
        <v>20</v>
      </c>
      <c r="E28" s="3" t="s">
        <v>117</v>
      </c>
      <c r="F28" s="3">
        <v>67</v>
      </c>
      <c r="G28" s="3">
        <v>92</v>
      </c>
      <c r="H28" s="3">
        <v>173</v>
      </c>
      <c r="I28" s="3">
        <v>54.5</v>
      </c>
      <c r="J28" s="4">
        <f t="shared" si="0"/>
        <v>18.209763106017576</v>
      </c>
      <c r="K28" s="9">
        <v>46126</v>
      </c>
      <c r="L28" s="10">
        <v>0.49513888888888891</v>
      </c>
      <c r="M28" s="11">
        <v>5.0999999999999996</v>
      </c>
      <c r="N28" s="12">
        <v>1</v>
      </c>
      <c r="O28" s="10">
        <v>0.57847222222222228</v>
      </c>
      <c r="P28" s="11">
        <v>4.9000000000000004</v>
      </c>
      <c r="Q28" s="12">
        <v>0.6</v>
      </c>
      <c r="R28" s="5"/>
    </row>
    <row r="29" spans="1:18" ht="15.75">
      <c r="A29" s="3" t="s">
        <v>50</v>
      </c>
      <c r="B29" s="3" t="s">
        <v>38</v>
      </c>
      <c r="C29" s="3">
        <v>20</v>
      </c>
      <c r="D29" s="3" t="s">
        <v>20</v>
      </c>
      <c r="E29" s="3" t="s">
        <v>118</v>
      </c>
      <c r="F29" s="3">
        <v>75</v>
      </c>
      <c r="G29" s="3">
        <v>102</v>
      </c>
      <c r="H29" s="3">
        <v>175</v>
      </c>
      <c r="I29" s="3">
        <v>69.900000000000006</v>
      </c>
      <c r="J29" s="4">
        <f t="shared" si="0"/>
        <v>22.824489795918367</v>
      </c>
      <c r="K29" s="9">
        <v>46126</v>
      </c>
      <c r="L29" s="20">
        <v>0.56944444444444442</v>
      </c>
      <c r="M29" s="11">
        <v>4.5999999999999996</v>
      </c>
      <c r="N29" s="12">
        <v>0.2</v>
      </c>
      <c r="O29" s="10">
        <v>0.64583333333333337</v>
      </c>
      <c r="P29" s="11">
        <v>4.2</v>
      </c>
      <c r="Q29" s="12">
        <v>0.2</v>
      </c>
      <c r="R29" s="5"/>
    </row>
    <row r="30" spans="1:18" ht="15.95">
      <c r="A30" s="3" t="s">
        <v>61</v>
      </c>
      <c r="B30" s="3" t="s">
        <v>38</v>
      </c>
      <c r="C30" s="3">
        <v>20</v>
      </c>
      <c r="D30" s="3" t="s">
        <v>20</v>
      </c>
      <c r="E30" s="3" t="s">
        <v>114</v>
      </c>
      <c r="F30" s="3">
        <v>67</v>
      </c>
      <c r="G30" s="3">
        <v>95</v>
      </c>
      <c r="H30" s="3">
        <v>165</v>
      </c>
      <c r="I30" s="3">
        <v>53.8</v>
      </c>
      <c r="J30" s="4">
        <f t="shared" si="0"/>
        <v>19.761248852157944</v>
      </c>
      <c r="K30" s="9">
        <v>46128</v>
      </c>
      <c r="L30" s="10">
        <v>0.62013888888888891</v>
      </c>
      <c r="M30" s="11">
        <v>4.7</v>
      </c>
      <c r="N30" s="12">
        <v>0.3</v>
      </c>
      <c r="O30" s="10">
        <v>0.57777777777777772</v>
      </c>
      <c r="P30" s="11">
        <v>4.2</v>
      </c>
      <c r="Q30" s="12">
        <v>0.4</v>
      </c>
      <c r="R30" s="5"/>
    </row>
    <row r="31" spans="1:18" ht="15.95">
      <c r="A31" s="3" t="s">
        <v>41</v>
      </c>
      <c r="B31" s="3" t="s">
        <v>38</v>
      </c>
      <c r="C31" s="3">
        <v>20</v>
      </c>
      <c r="D31" s="3" t="s">
        <v>20</v>
      </c>
      <c r="E31" s="9">
        <v>46096</v>
      </c>
      <c r="F31" s="3">
        <v>71</v>
      </c>
      <c r="G31" s="3">
        <v>99</v>
      </c>
      <c r="H31" s="3">
        <v>172.5</v>
      </c>
      <c r="I31" s="3">
        <v>61.6</v>
      </c>
      <c r="J31" s="4">
        <f t="shared" si="0"/>
        <v>20.701533291325351</v>
      </c>
      <c r="K31" s="9">
        <v>46128</v>
      </c>
      <c r="L31" s="10">
        <v>0.56388888888888888</v>
      </c>
      <c r="M31" s="11">
        <v>4.9000000000000004</v>
      </c>
      <c r="N31" s="12">
        <v>0.4</v>
      </c>
      <c r="O31" s="10">
        <v>0.63680555555555551</v>
      </c>
      <c r="P31" s="11">
        <v>4.0999999999999996</v>
      </c>
      <c r="Q31" s="12">
        <v>0.3</v>
      </c>
      <c r="R31" s="5"/>
    </row>
    <row r="32" spans="1:18" ht="15.75">
      <c r="A32" s="3" t="s">
        <v>62</v>
      </c>
      <c r="B32" s="3" t="s">
        <v>19</v>
      </c>
      <c r="C32" s="3">
        <v>20</v>
      </c>
      <c r="D32" s="3" t="s">
        <v>20</v>
      </c>
      <c r="E32" s="9">
        <v>46330</v>
      </c>
      <c r="F32" s="3">
        <v>67</v>
      </c>
      <c r="G32" s="3">
        <v>97</v>
      </c>
      <c r="H32" s="3">
        <v>164</v>
      </c>
      <c r="I32" s="3">
        <v>58.6</v>
      </c>
      <c r="J32" s="4">
        <f t="shared" si="0"/>
        <v>21.787626412849498</v>
      </c>
      <c r="K32" s="9">
        <v>46129</v>
      </c>
      <c r="L32" s="20">
        <v>0.50416666666666665</v>
      </c>
      <c r="M32" s="11">
        <v>5.5</v>
      </c>
      <c r="N32" s="12">
        <v>0.1</v>
      </c>
      <c r="O32" s="10">
        <v>0.60763888888888884</v>
      </c>
      <c r="P32" s="11">
        <v>4.8</v>
      </c>
      <c r="Q32" s="12">
        <v>0.4</v>
      </c>
      <c r="R32" s="5"/>
    </row>
    <row r="33" spans="1:18" ht="15.95">
      <c r="A33" s="3" t="s">
        <v>78</v>
      </c>
      <c r="B33" s="3" t="s">
        <v>19</v>
      </c>
      <c r="C33" s="3">
        <v>22</v>
      </c>
      <c r="D33" s="3" t="s">
        <v>20</v>
      </c>
      <c r="E33" s="3" t="s">
        <v>119</v>
      </c>
      <c r="F33" s="3">
        <v>68</v>
      </c>
      <c r="G33" s="3">
        <v>97</v>
      </c>
      <c r="H33" s="3">
        <v>160</v>
      </c>
      <c r="I33" s="3">
        <v>59.6</v>
      </c>
      <c r="J33" s="4">
        <f t="shared" si="0"/>
        <v>23.281249999999996</v>
      </c>
      <c r="K33" s="9">
        <v>46129</v>
      </c>
      <c r="L33" s="10">
        <v>0.5756944444444444</v>
      </c>
      <c r="M33" s="11">
        <v>6.1</v>
      </c>
      <c r="N33" s="12">
        <v>0</v>
      </c>
      <c r="O33" s="10">
        <v>0.68888888888888888</v>
      </c>
      <c r="P33" s="11">
        <v>5.2</v>
      </c>
      <c r="Q33" s="12">
        <v>0</v>
      </c>
      <c r="R33" s="5"/>
    </row>
    <row r="34" spans="1:18" ht="15.95">
      <c r="A34" s="3"/>
      <c r="B34" s="3"/>
      <c r="C34" s="3"/>
      <c r="D34" s="3"/>
      <c r="E34" s="3"/>
      <c r="F34" s="3"/>
      <c r="G34" s="3"/>
      <c r="H34" s="3"/>
      <c r="I34" s="3"/>
      <c r="J34" s="4" t="e">
        <f t="shared" si="0"/>
        <v>#DIV/0!</v>
      </c>
      <c r="K34" s="9"/>
      <c r="L34" s="10"/>
      <c r="M34" s="11"/>
      <c r="N34" s="12"/>
      <c r="O34" s="10"/>
      <c r="P34" s="11"/>
      <c r="Q34" s="12"/>
      <c r="R34" s="5"/>
    </row>
    <row r="35" spans="1:18" ht="15.95">
      <c r="A35" s="3"/>
      <c r="B35" s="3"/>
      <c r="C35" s="3"/>
      <c r="D35" s="3"/>
      <c r="E35" s="3"/>
      <c r="F35" s="3"/>
      <c r="G35" s="3"/>
      <c r="H35" s="3"/>
      <c r="I35" s="3"/>
      <c r="J35" s="4" t="e">
        <f t="shared" si="0"/>
        <v>#DIV/0!</v>
      </c>
      <c r="K35" s="9"/>
      <c r="L35" s="10"/>
      <c r="M35" s="11"/>
      <c r="N35" s="12"/>
      <c r="O35" s="10"/>
      <c r="P35" s="11"/>
      <c r="Q35" s="12"/>
      <c r="R35" s="5"/>
    </row>
    <row r="36" spans="1:18" ht="15.95">
      <c r="A36" s="3"/>
      <c r="B36" s="3"/>
      <c r="C36" s="3"/>
      <c r="D36" s="3"/>
      <c r="E36" s="3"/>
      <c r="F36" s="3"/>
      <c r="G36" s="3"/>
      <c r="H36" s="3"/>
      <c r="I36" s="3"/>
      <c r="J36" s="4" t="e">
        <f t="shared" si="0"/>
        <v>#DIV/0!</v>
      </c>
      <c r="K36" s="9"/>
      <c r="L36" s="10"/>
      <c r="M36" s="11"/>
      <c r="N36" s="12"/>
      <c r="O36" s="10"/>
      <c r="P36" s="11"/>
      <c r="Q36" s="12"/>
      <c r="R36" s="5"/>
    </row>
    <row r="37" spans="1:18" ht="15.95">
      <c r="A37" s="3"/>
      <c r="B37" s="3"/>
      <c r="C37" s="3"/>
      <c r="D37" s="3"/>
      <c r="E37" s="3"/>
      <c r="F37" s="3"/>
      <c r="G37" s="3"/>
      <c r="H37" s="3"/>
      <c r="I37" s="3"/>
      <c r="J37" s="4" t="e">
        <f t="shared" si="0"/>
        <v>#DIV/0!</v>
      </c>
      <c r="K37" s="9"/>
      <c r="L37" s="10"/>
      <c r="M37" s="11"/>
      <c r="N37" s="12"/>
      <c r="O37" s="10"/>
      <c r="P37" s="11"/>
      <c r="Q37" s="12"/>
      <c r="R37" s="5"/>
    </row>
    <row r="38" spans="1:18" ht="15.95">
      <c r="A38" s="3"/>
      <c r="B38" s="3"/>
      <c r="C38" s="3"/>
      <c r="D38" s="3"/>
      <c r="E38" s="3"/>
      <c r="F38" s="3"/>
      <c r="G38" s="3"/>
      <c r="H38" s="3"/>
      <c r="I38" s="3"/>
      <c r="J38" s="4" t="e">
        <f t="shared" si="0"/>
        <v>#DIV/0!</v>
      </c>
      <c r="K38" s="9"/>
      <c r="L38" s="10"/>
      <c r="M38" s="11"/>
      <c r="N38" s="12"/>
      <c r="O38" s="10"/>
      <c r="P38" s="11"/>
      <c r="Q38" s="12"/>
      <c r="R38" s="5"/>
    </row>
    <row r="39" spans="1:18" ht="15.95">
      <c r="A39" s="3"/>
      <c r="B39" s="3"/>
      <c r="C39" s="3"/>
      <c r="D39" s="3"/>
      <c r="E39" s="3"/>
      <c r="F39" s="3"/>
      <c r="G39" s="3"/>
      <c r="H39" s="3"/>
      <c r="I39" s="3"/>
      <c r="J39" s="4" t="e">
        <f t="shared" si="0"/>
        <v>#DIV/0!</v>
      </c>
      <c r="K39" s="9"/>
      <c r="L39" s="10"/>
      <c r="M39" s="11"/>
      <c r="N39" s="12"/>
      <c r="O39" s="10"/>
      <c r="P39" s="11"/>
      <c r="Q39" s="12"/>
      <c r="R39" s="5"/>
    </row>
    <row r="40" spans="1:18" ht="15.95">
      <c r="A40" s="3"/>
      <c r="B40" s="3"/>
      <c r="C40" s="3"/>
      <c r="D40" s="3"/>
      <c r="E40" s="3"/>
      <c r="F40" s="3"/>
      <c r="G40" s="3"/>
      <c r="H40" s="3"/>
      <c r="I40" s="3"/>
      <c r="J40" s="4" t="e">
        <f t="shared" si="0"/>
        <v>#DIV/0!</v>
      </c>
      <c r="K40" s="9"/>
      <c r="L40" s="10"/>
      <c r="M40" s="11"/>
      <c r="N40" s="12"/>
      <c r="O40" s="10"/>
      <c r="P40" s="11"/>
      <c r="Q40" s="12"/>
      <c r="R40" s="5"/>
    </row>
    <row r="41" spans="1:18" ht="15.95">
      <c r="A41" s="3"/>
      <c r="B41" s="3"/>
      <c r="C41" s="3"/>
      <c r="D41" s="3"/>
      <c r="E41" s="3"/>
      <c r="F41" s="3"/>
      <c r="G41" s="3"/>
      <c r="H41" s="3"/>
      <c r="I41" s="3"/>
      <c r="J41" s="4" t="e">
        <f t="shared" si="0"/>
        <v>#DIV/0!</v>
      </c>
      <c r="K41" s="9"/>
      <c r="L41" s="10"/>
      <c r="M41" s="11"/>
      <c r="N41" s="12"/>
      <c r="O41" s="10"/>
      <c r="P41" s="11"/>
      <c r="Q41" s="12"/>
      <c r="R41" s="5"/>
    </row>
    <row r="42" spans="1:18" ht="15.95">
      <c r="A42" s="3"/>
      <c r="B42" s="3"/>
      <c r="C42" s="3"/>
      <c r="D42" s="3"/>
      <c r="E42" s="3"/>
      <c r="F42" s="3"/>
      <c r="G42" s="3"/>
      <c r="H42" s="3"/>
      <c r="I42" s="3"/>
      <c r="J42" s="4" t="e">
        <f t="shared" si="0"/>
        <v>#DIV/0!</v>
      </c>
      <c r="K42" s="9"/>
      <c r="L42" s="10"/>
      <c r="M42" s="11"/>
      <c r="N42" s="12"/>
      <c r="O42" s="10"/>
      <c r="P42" s="11"/>
      <c r="Q42" s="12"/>
      <c r="R42" s="5"/>
    </row>
    <row r="43" spans="1:18" ht="15.95">
      <c r="A43" s="3"/>
      <c r="B43" s="3"/>
      <c r="C43" s="3"/>
      <c r="D43" s="3"/>
      <c r="E43" s="3"/>
      <c r="F43" s="3"/>
      <c r="G43" s="3"/>
      <c r="H43" s="3"/>
      <c r="I43" s="3"/>
      <c r="J43" s="4" t="e">
        <f t="shared" si="0"/>
        <v>#DIV/0!</v>
      </c>
      <c r="K43" s="9"/>
      <c r="L43" s="10"/>
      <c r="M43" s="11"/>
      <c r="N43" s="12"/>
      <c r="O43" s="10"/>
      <c r="P43" s="11"/>
      <c r="Q43" s="12"/>
      <c r="R43" s="5"/>
    </row>
    <row r="44" spans="1:18">
      <c r="R44" s="2"/>
    </row>
    <row r="49" spans="18:24">
      <c r="R49" s="1"/>
      <c r="S49" s="1"/>
      <c r="T49" s="1"/>
      <c r="U49" s="1"/>
      <c r="V49" s="1"/>
      <c r="W49" s="1"/>
      <c r="X49" s="1"/>
    </row>
    <row r="50" spans="18:24">
      <c r="R50" s="1"/>
      <c r="S50" s="1"/>
      <c r="T50" s="1"/>
      <c r="U50" s="1"/>
      <c r="V50" s="1"/>
      <c r="W50" s="1"/>
      <c r="X50" s="1"/>
    </row>
    <row r="51" spans="18:24">
      <c r="R51" s="1"/>
      <c r="S51" s="1"/>
      <c r="T51" s="1"/>
      <c r="U51" s="1"/>
      <c r="V51" s="1"/>
      <c r="W51" s="1"/>
      <c r="X51" s="1"/>
    </row>
    <row r="52" spans="18:24">
      <c r="R52" s="1"/>
      <c r="S52" s="1"/>
      <c r="T52" s="1"/>
      <c r="U52" s="1"/>
      <c r="V52" s="1"/>
      <c r="W52" s="1"/>
      <c r="X52" s="1"/>
    </row>
    <row r="53" spans="18:24">
      <c r="R53" s="1"/>
      <c r="S53" s="1"/>
      <c r="T53" s="1"/>
      <c r="U53" s="1"/>
      <c r="V53" s="1"/>
      <c r="W53" s="1"/>
      <c r="X53" s="1"/>
    </row>
    <row r="54" spans="18:24">
      <c r="R54" s="1"/>
      <c r="S54" s="1"/>
      <c r="T54" s="1"/>
      <c r="U54" s="1"/>
      <c r="V54" s="1"/>
      <c r="W54" s="1"/>
      <c r="X54" s="1"/>
    </row>
    <row r="55" spans="18:24">
      <c r="R55" s="1"/>
      <c r="S55" s="1"/>
      <c r="T55" s="1"/>
      <c r="U55" s="1"/>
      <c r="V55" s="1"/>
      <c r="W55" s="1"/>
      <c r="X55" s="1"/>
    </row>
    <row r="56" spans="18:24">
      <c r="R56" s="1"/>
      <c r="S56" s="1"/>
      <c r="T56" s="1"/>
      <c r="U56" s="1"/>
      <c r="V56" s="1"/>
      <c r="W56" s="1"/>
      <c r="X56" s="1"/>
    </row>
    <row r="57" spans="18:24">
      <c r="R57" s="1"/>
      <c r="S57" s="1"/>
      <c r="T57" s="1"/>
      <c r="U57" s="1"/>
      <c r="V57" s="1"/>
      <c r="W57" s="1"/>
      <c r="X57" s="1"/>
    </row>
    <row r="58" spans="18:24">
      <c r="R58" s="1"/>
      <c r="S58" s="1"/>
      <c r="T58" s="1"/>
      <c r="U58" s="1"/>
      <c r="V58" s="1"/>
      <c r="W58" s="1"/>
      <c r="X58" s="1"/>
    </row>
    <row r="59" spans="18:24">
      <c r="R59" s="1"/>
      <c r="S59" s="1"/>
      <c r="T59" s="1"/>
      <c r="U59" s="1"/>
      <c r="V59" s="1"/>
      <c r="W59" s="1"/>
      <c r="X59" s="1"/>
    </row>
    <row r="60" spans="18:24">
      <c r="R60" s="1"/>
      <c r="S60" s="1"/>
      <c r="T60" s="1"/>
      <c r="U60" s="1"/>
      <c r="V60" s="1"/>
      <c r="W60" s="1"/>
      <c r="X60" s="1"/>
    </row>
    <row r="61" spans="18:24">
      <c r="R61" s="1"/>
      <c r="S61" s="1"/>
      <c r="T61" s="1"/>
      <c r="U61" s="1"/>
      <c r="V61" s="1"/>
      <c r="W61" s="1"/>
      <c r="X61" s="1"/>
    </row>
    <row r="62" spans="18:24">
      <c r="R62" s="1"/>
      <c r="S62" s="1"/>
      <c r="T62" s="1"/>
      <c r="U62" s="1"/>
      <c r="V62" s="1"/>
      <c r="W62" s="1"/>
      <c r="X62" s="1"/>
    </row>
    <row r="63" spans="18:24">
      <c r="R63" s="1"/>
      <c r="S63" s="1"/>
      <c r="T63" s="1"/>
      <c r="U63" s="1"/>
      <c r="V63" s="1"/>
      <c r="W63" s="1"/>
      <c r="X63" s="1"/>
    </row>
    <row r="64" spans="18:24">
      <c r="R64" s="1"/>
      <c r="S64" s="1"/>
      <c r="T64" s="1"/>
      <c r="U64" s="1"/>
      <c r="V64" s="1"/>
      <c r="W64" s="1"/>
      <c r="X64" s="1"/>
    </row>
    <row r="65" spans="18:24">
      <c r="R65" s="1"/>
      <c r="S65" s="1"/>
      <c r="T65" s="1"/>
      <c r="U65" s="1"/>
      <c r="V65" s="1"/>
      <c r="W65" s="1"/>
      <c r="X65" s="1"/>
    </row>
    <row r="66" spans="18:24">
      <c r="R66" s="1"/>
      <c r="S66" s="1"/>
      <c r="T66" s="1"/>
      <c r="U66" s="1"/>
      <c r="V66" s="1"/>
      <c r="W66" s="1"/>
      <c r="X66" s="1"/>
    </row>
    <row r="67" spans="18:24">
      <c r="R67" s="1"/>
      <c r="S67" s="1"/>
      <c r="T67" s="1"/>
      <c r="U67" s="1"/>
      <c r="V67" s="1"/>
      <c r="W67" s="1"/>
      <c r="X67" s="1"/>
    </row>
  </sheetData>
  <pageMargins left="0.7" right="0.7" top="0.75" bottom="0.75" header="0.3" footer="0.3"/>
  <pageSetup paperSize="9" scale="43" orientation="portrait" horizontalDpi="0" verticalDpi="0"/>
  <headerFooter>
    <oddHeader>&amp;CFASTRESS, T1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34D826335274199E8F367B94CF832" ma:contentTypeVersion="11" ma:contentTypeDescription="Create a new document." ma:contentTypeScope="" ma:versionID="4b04fb9a4776409ec7a8ebe1a64d8833">
  <xsd:schema xmlns:xsd="http://www.w3.org/2001/XMLSchema" xmlns:xs="http://www.w3.org/2001/XMLSchema" xmlns:p="http://schemas.microsoft.com/office/2006/metadata/properties" xmlns:ns2="39ce33b2-671c-4713-8621-0a4725eb6492" xmlns:ns3="7bd8c6b4-ed50-4b48-9e7a-9ad7b199dd06" targetNamespace="http://schemas.microsoft.com/office/2006/metadata/properties" ma:root="true" ma:fieldsID="b221226dd8a03b414ab50b59e4bd5a83" ns2:_="" ns3:_="">
    <xsd:import namespace="39ce33b2-671c-4713-8621-0a4725eb6492"/>
    <xsd:import namespace="7bd8c6b4-ed50-4b48-9e7a-9ad7b199d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e33b2-671c-4713-8621-0a4725eb6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format="Dropdown" ma:internalName="Status">
      <xsd:simpleType>
        <xsd:restriction base="dms:Choice">
          <xsd:enumeration value="Choice 1"/>
          <xsd:enumeration value="up-to-date"/>
          <xsd:enumeration value="edit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8c6b4-ed50-4b48-9e7a-9ad7b199dd0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df3429-5c7e-4fbd-b112-3fdee10297fc}" ma:internalName="TaxCatchAll" ma:showField="CatchAllData" ma:web="7bd8c6b4-ed50-4b48-9e7a-9ad7b199dd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9ce33b2-671c-4713-8621-0a4725eb6492" xsi:nil="true"/>
    <lcf76f155ced4ddcb4097134ff3c332f xmlns="39ce33b2-671c-4713-8621-0a4725eb6492">
      <Terms xmlns="http://schemas.microsoft.com/office/infopath/2007/PartnerControls"/>
    </lcf76f155ced4ddcb4097134ff3c332f>
    <TaxCatchAll xmlns="7bd8c6b4-ed50-4b48-9e7a-9ad7b199dd06" xsi:nil="true"/>
  </documentManagement>
</p:properties>
</file>

<file path=customXml/itemProps1.xml><?xml version="1.0" encoding="utf-8"?>
<ds:datastoreItem xmlns:ds="http://schemas.openxmlformats.org/officeDocument/2006/customXml" ds:itemID="{9A3AE735-2ED9-4FE4-8ACD-2B1501C0FE68}"/>
</file>

<file path=customXml/itemProps2.xml><?xml version="1.0" encoding="utf-8"?>
<ds:datastoreItem xmlns:ds="http://schemas.openxmlformats.org/officeDocument/2006/customXml" ds:itemID="{4645D51E-65B6-47C9-8112-61C795F1F2D5}"/>
</file>

<file path=customXml/itemProps3.xml><?xml version="1.0" encoding="utf-8"?>
<ds:datastoreItem xmlns:ds="http://schemas.openxmlformats.org/officeDocument/2006/customXml" ds:itemID="{47106059-789E-4A5C-86F4-BF90B28AB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2022-11-29T17:02:09Z</dcterms:created>
  <dcterms:modified xsi:type="dcterms:W3CDTF">2026-04-19T07:19:53Z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0x01010058534D826335274199E8F367B94CF832</vt:lpwstr>
  </property>
  <property fmtid="{D5CDD505-2E9C-101B-9397-08002B2CF9AE}" pid="3" name="MediaServiceImageTags">
    <vt:lpwstr/>
  </property>
</Properties>
</file>